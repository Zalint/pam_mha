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babou\OneDrive\Desktop\PLAN D'ACTIONS BUDGETISE MHA 2026\"/>
    </mc:Choice>
  </mc:AlternateContent>
  <bookViews>
    <workbookView xWindow="0" yWindow="0" windowWidth="19200" windowHeight="8930"/>
  </bookViews>
  <sheets>
    <sheet name="MHA PLAN D'ACTIONS BUDGETISE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Q149" i="1" l="1"/>
  <c r="P149" i="1"/>
  <c r="O149" i="1"/>
  <c r="N149" i="1"/>
  <c r="M149" i="1"/>
  <c r="K149" i="1"/>
  <c r="J149" i="1"/>
  <c r="H149" i="1"/>
  <c r="P147" i="1"/>
  <c r="O147" i="1"/>
  <c r="N147" i="1"/>
  <c r="M147" i="1"/>
  <c r="K147" i="1"/>
  <c r="J147" i="1"/>
  <c r="H147" i="1"/>
  <c r="P119" i="1"/>
  <c r="O119" i="1"/>
  <c r="N119" i="1"/>
  <c r="M119" i="1"/>
  <c r="K119" i="1"/>
  <c r="J119" i="1"/>
  <c r="H119" i="1"/>
  <c r="P115" i="1"/>
  <c r="O115" i="1"/>
  <c r="N115" i="1"/>
  <c r="M115" i="1"/>
  <c r="K115" i="1"/>
  <c r="J115" i="1"/>
  <c r="H115" i="1"/>
  <c r="P112" i="1"/>
  <c r="O112" i="1"/>
  <c r="N112" i="1"/>
  <c r="M112" i="1"/>
  <c r="K112" i="1"/>
  <c r="J112" i="1"/>
  <c r="H112" i="1"/>
  <c r="M103" i="1"/>
  <c r="N103" i="1" s="1"/>
  <c r="P93" i="1"/>
  <c r="O93" i="1"/>
  <c r="N93" i="1"/>
  <c r="M93" i="1"/>
  <c r="N82" i="1"/>
  <c r="M82" i="1"/>
  <c r="N79" i="1"/>
  <c r="M79" i="1"/>
  <c r="N76" i="1"/>
  <c r="M76" i="1"/>
  <c r="P74" i="1"/>
  <c r="O74" i="1"/>
  <c r="N74" i="1"/>
  <c r="M74" i="1"/>
  <c r="P67" i="1"/>
  <c r="O67" i="1"/>
  <c r="N67" i="1"/>
  <c r="M67" i="1"/>
  <c r="N66" i="1"/>
  <c r="M66" i="1"/>
  <c r="N65" i="1"/>
  <c r="M65" i="1"/>
  <c r="H64" i="1"/>
  <c r="N64" i="1" s="1"/>
  <c r="N63" i="1"/>
  <c r="M63" i="1"/>
  <c r="O62" i="1"/>
  <c r="M60" i="1"/>
  <c r="H53" i="1"/>
  <c r="P46" i="1"/>
  <c r="O46" i="1"/>
  <c r="N46" i="1"/>
  <c r="M46" i="1"/>
  <c r="H45" i="1"/>
  <c r="O45" i="1" s="1"/>
  <c r="P44" i="1"/>
  <c r="O44" i="1"/>
  <c r="N44" i="1"/>
  <c r="M44" i="1"/>
  <c r="P43" i="1"/>
  <c r="O43" i="1"/>
  <c r="N43" i="1"/>
  <c r="M43" i="1"/>
  <c r="P42" i="1"/>
  <c r="O42" i="1"/>
  <c r="N42" i="1"/>
  <c r="M42" i="1"/>
  <c r="P41" i="1"/>
  <c r="O41" i="1"/>
  <c r="N41" i="1"/>
  <c r="M41" i="1"/>
  <c r="P40" i="1"/>
  <c r="O40" i="1"/>
  <c r="N40" i="1"/>
  <c r="M40" i="1"/>
  <c r="P39" i="1"/>
  <c r="O39" i="1"/>
  <c r="N39" i="1"/>
  <c r="M39" i="1"/>
  <c r="P38" i="1"/>
  <c r="O38" i="1"/>
  <c r="N38" i="1"/>
  <c r="P37" i="1"/>
  <c r="O37" i="1"/>
  <c r="N37" i="1"/>
  <c r="M37" i="1"/>
  <c r="P36" i="1"/>
  <c r="O36" i="1"/>
  <c r="N36" i="1"/>
  <c r="M36" i="1"/>
  <c r="P35" i="1"/>
  <c r="O35" i="1"/>
  <c r="N35" i="1"/>
  <c r="M35" i="1"/>
  <c r="P34" i="1"/>
  <c r="O34" i="1"/>
  <c r="N34" i="1"/>
  <c r="M34" i="1"/>
  <c r="H33" i="1"/>
  <c r="P32" i="1"/>
  <c r="O32" i="1"/>
  <c r="N32" i="1"/>
  <c r="M32" i="1"/>
  <c r="P31" i="1"/>
  <c r="O31" i="1"/>
  <c r="N31" i="1"/>
  <c r="M31" i="1"/>
  <c r="P30" i="1"/>
  <c r="O30" i="1"/>
  <c r="N30" i="1"/>
  <c r="M30" i="1"/>
  <c r="P29" i="1"/>
  <c r="O29" i="1"/>
  <c r="N29" i="1"/>
  <c r="M29" i="1"/>
  <c r="P28" i="1"/>
  <c r="O28" i="1"/>
  <c r="N28" i="1"/>
  <c r="M28" i="1"/>
  <c r="P27" i="1"/>
  <c r="O27" i="1"/>
  <c r="N27" i="1"/>
  <c r="M27" i="1"/>
  <c r="P26" i="1"/>
  <c r="O26" i="1"/>
  <c r="N26" i="1"/>
  <c r="M26" i="1"/>
  <c r="P25" i="1"/>
  <c r="O25" i="1"/>
  <c r="N25" i="1"/>
  <c r="M25" i="1"/>
  <c r="P24" i="1"/>
  <c r="O24" i="1"/>
  <c r="N24" i="1"/>
  <c r="M24" i="1"/>
  <c r="P23" i="1"/>
  <c r="O23" i="1"/>
  <c r="N23" i="1"/>
  <c r="M23" i="1"/>
  <c r="P22" i="1"/>
  <c r="O22" i="1"/>
  <c r="N22" i="1"/>
  <c r="M22" i="1"/>
  <c r="P21" i="1"/>
  <c r="O21" i="1"/>
  <c r="N21" i="1"/>
  <c r="M21" i="1"/>
  <c r="P20" i="1"/>
  <c r="O20" i="1"/>
  <c r="N20" i="1"/>
  <c r="M20" i="1"/>
  <c r="P19" i="1"/>
  <c r="O19" i="1"/>
  <c r="N19" i="1"/>
  <c r="M19" i="1"/>
  <c r="P18" i="1"/>
  <c r="O18" i="1"/>
  <c r="N18" i="1"/>
  <c r="M18" i="1"/>
  <c r="P17" i="1"/>
  <c r="O17" i="1"/>
  <c r="N17" i="1"/>
  <c r="M17" i="1"/>
  <c r="P16" i="1"/>
  <c r="O16" i="1"/>
  <c r="N16" i="1"/>
  <c r="M16" i="1"/>
  <c r="M64" i="1" l="1"/>
  <c r="N60" i="1"/>
  <c r="N45" i="1"/>
  <c r="M33" i="1"/>
  <c r="N33" i="1"/>
  <c r="O33" i="1"/>
  <c r="M45" i="1"/>
  <c r="P45" i="1"/>
  <c r="P33" i="1"/>
</calcChain>
</file>

<file path=xl/sharedStrings.xml><?xml version="1.0" encoding="utf-8"?>
<sst xmlns="http://schemas.openxmlformats.org/spreadsheetml/2006/main" count="390" uniqueCount="292">
  <si>
    <t>Actions</t>
  </si>
  <si>
    <t>Activités</t>
  </si>
  <si>
    <t>Résultats attendus</t>
  </si>
  <si>
    <t>Programmes</t>
  </si>
  <si>
    <t>Indicateurs</t>
  </si>
  <si>
    <t>Cibles</t>
  </si>
  <si>
    <t>Résultats</t>
  </si>
  <si>
    <t>%</t>
  </si>
  <si>
    <t>PROJET DE REALISATION D'UNE UNITE DESSALEMENT EAU DE MER</t>
  </si>
  <si>
    <t>Les travaux de conception-construction de l’usine de dessalement ont atteint un taux d'avancement physique global de 99%</t>
  </si>
  <si>
    <t>La réception provisoire des travaux de reconstruction du centre de santé  est prononcée</t>
  </si>
  <si>
    <t>Le récif artificiel est construit</t>
  </si>
  <si>
    <t>La réalisation de l’usine à glace est effective</t>
  </si>
  <si>
    <t>L’acquisition de tricycles isothermes est effective</t>
  </si>
  <si>
    <t>Les travaux de télégestion ont atteint un taux d'avancement physique global de 50%</t>
  </si>
  <si>
    <t>18.300 branchements sociaux sont réalisés dans tout le périmètre affermé</t>
  </si>
  <si>
    <t>Les travaux de renouvellement de 316 km de canalisations du réseau de distribution de Dakar ont atteint un taux d'avancement physique global de 85%</t>
  </si>
  <si>
    <t>Les travaux de renouvellement de 35.000 branchements ont atteint un taux d'avancement physique global de 30%</t>
  </si>
  <si>
    <t>Programme d'Accès Sécurisé à l'Eau Multiusages (PASEM)</t>
  </si>
  <si>
    <t>Développement l’Accès Sécurisé à l’Eau (DASE)</t>
  </si>
  <si>
    <t>Taux d'avancement physique global de l'usine= 99%</t>
  </si>
  <si>
    <t>Taux d'avancement physique global des travaux de renouvellement = 85%</t>
  </si>
  <si>
    <t>Usine de glace mise en service = Oui</t>
  </si>
  <si>
    <t>Tricycles remis aux bénéficiaires = Oui</t>
  </si>
  <si>
    <t>Travaux du récif artificiel réceptionnés = Oui</t>
  </si>
  <si>
    <t>Taux d'avancement physique global des travaux de télégestion =50%</t>
  </si>
  <si>
    <t>Taux d'avancement physique global des travaux de renouvellement de branchements = 30%</t>
  </si>
  <si>
    <t>Réception provisoire prononcée = OUI</t>
  </si>
  <si>
    <t>Nombre de branchements sociaux réalisés dans le cadre de ce projet = 18.300</t>
  </si>
  <si>
    <t>Trimestre 1</t>
  </si>
  <si>
    <t>Trimestre 2</t>
  </si>
  <si>
    <t>Trimestre 3</t>
  </si>
  <si>
    <t>Trimestre 4</t>
  </si>
  <si>
    <t>Plan d'engagement (Plan de décaissement trimestriel)</t>
  </si>
  <si>
    <t>Budget prévisionnel (LFI 2026)</t>
  </si>
  <si>
    <t>Projet Assainissement 10 villes</t>
  </si>
  <si>
    <t xml:space="preserve">Projet de Dépollution baie de Hann </t>
  </si>
  <si>
    <t xml:space="preserve">Projet d'assainissement de  Ziguinchor </t>
  </si>
  <si>
    <t>Projet Assainissement Autonome de Dakar</t>
  </si>
  <si>
    <t>Travaux complémentagire de drainage des eaux pluviales de Touba-lot2</t>
  </si>
  <si>
    <t>Projet d'assainissement de Medina Gounass</t>
  </si>
  <si>
    <t>Travaux de drainage des eaux pluvilaes de la ville de Tivaouane</t>
  </si>
  <si>
    <t>Assainissement des eaux usées de RICHARD TOLL</t>
  </si>
  <si>
    <t>Assainissement DES EAUX USEES DE DAGANA</t>
  </si>
  <si>
    <t>Assainissement DES EAUX USEES DE PODOR</t>
  </si>
  <si>
    <t xml:space="preserve">Projet Intégré pour le Sécurité de l'Eau et de l'Assainissement (PISEA) volet Assainissement Système Est de Dakar </t>
  </si>
  <si>
    <t xml:space="preserve">Projet Innovant d’accès aux Services Sécurises d’Eau et d’Assainissement pour une Résilience Durable dans les zones défavorisées </t>
  </si>
  <si>
    <t>Le linéaire de réseau disponible est renforcé</t>
  </si>
  <si>
    <t>Le linéaire de réseau disponible est renforcé dans les dix villes</t>
  </si>
  <si>
    <t xml:space="preserve">Des branchements  au réseau sont réalisés </t>
  </si>
  <si>
    <t>L'emissaire en mer en réalisé et réceptionné</t>
  </si>
  <si>
    <t xml:space="preserve">Les canaux de drainage sont réalisés et réceptionnés </t>
  </si>
  <si>
    <t>La STEP de Ziguinchor est réalisée et réceptionnée</t>
  </si>
  <si>
    <t>Des ouvrages d'assanissement autonomes sont construist dans la région de Dakr</t>
  </si>
  <si>
    <t>Des édicules public sont construits dans la région de Dakar</t>
  </si>
  <si>
    <t>Le réseau vétuste est renouvellé</t>
  </si>
  <si>
    <t>Des ouvrages d'assanissement autonomes sont construist dans la ville de Touba</t>
  </si>
  <si>
    <t>Des dalots de drainage sont réalisés</t>
  </si>
  <si>
    <t>Des branchements  au réseau sont réalisés dans la ville de Medina Gounass</t>
  </si>
  <si>
    <t>Des branchements  au réseau sont réalisés dans la Ville de Touba</t>
  </si>
  <si>
    <t>Des édicules public sont construits dans la ville de Medina Gounass</t>
  </si>
  <si>
    <t>Des ouvrages d'assanissement autonomes sont construist dans la ville de Medina Gounass</t>
  </si>
  <si>
    <t>Des branchements  au réseau sont réalisés dans la ville de Tivaouane</t>
  </si>
  <si>
    <t>Des ouvrages d'assanissement autonomes sont construits dans la ville de Tivaouane</t>
  </si>
  <si>
    <t>Le linéaire de réseau d'eaux usées disponible est renforcé</t>
  </si>
  <si>
    <t>Des branchements  au réseau sont réalisés</t>
  </si>
  <si>
    <t>Des ouvrages d'assanissement autonomes sont construits</t>
  </si>
  <si>
    <t>Le linéaire de réseau d'eaux usées est renforcé</t>
  </si>
  <si>
    <t>Programme d’accès sécurisé á
l’assainissement et gestion des eaux pluviales (PAGEP)</t>
  </si>
  <si>
    <t xml:space="preserve">Développement du patrimoine et Accès sécurisé à l’assainissement </t>
  </si>
  <si>
    <t>Prévention et gestion des eaux pluviales et des inondations</t>
  </si>
  <si>
    <t>MATRICE DE SUIVI ET D’EVALUATION DE L’EXECUTION DES PLANS D’ACTIONS MINISTERIELS (PAM) - PLAN D'ENGAGEMENT - SONES</t>
  </si>
  <si>
    <t>Echéance</t>
  </si>
  <si>
    <t>Etat d’exécution</t>
  </si>
  <si>
    <t>Physique (%)</t>
  </si>
  <si>
    <t>Financière (%)</t>
  </si>
  <si>
    <t>Commentaires</t>
  </si>
  <si>
    <t>ACCES SECURISE A L'ASSAINISSEMENT ET GESTION DES EAUX PLUVIALES</t>
  </si>
  <si>
    <t>PGIIS</t>
  </si>
  <si>
    <t>Réalisation d'un dalotet franchissement et stabilisation du ravinement sur 200 m</t>
  </si>
  <si>
    <t>200 ml</t>
  </si>
  <si>
    <t>Libération du marché de thiaroye des eaux et amélioration de la mobilité à Gadaye</t>
  </si>
  <si>
    <t>Les DAO sont disponibles</t>
  </si>
  <si>
    <t>PRRIS</t>
  </si>
  <si>
    <t>Protection des quartiers contre les ravinements</t>
  </si>
  <si>
    <t>Sécurisation du canal</t>
  </si>
  <si>
    <t>BAMB ET SANG</t>
  </si>
  <si>
    <t>Libération des voies d'eau nat</t>
  </si>
  <si>
    <t>Emprises libérées</t>
  </si>
  <si>
    <t>15ha</t>
  </si>
  <si>
    <t>MATRICE D'ACTIONS PRIORITAIRES</t>
  </si>
  <si>
    <t>Curage des réseaux et faucardage des bassins</t>
  </si>
  <si>
    <t>22000ml</t>
  </si>
  <si>
    <t>31 juillet</t>
  </si>
  <si>
    <t>Contribution à la  libération des points bas sans exutoire</t>
  </si>
  <si>
    <t>Curage des réseaux dans 8 régions</t>
  </si>
  <si>
    <t>32000 ml</t>
  </si>
  <si>
    <t>Renforcement de la résilience contre les inondations</t>
  </si>
  <si>
    <t>1000 ml</t>
  </si>
  <si>
    <t>2000 ml</t>
  </si>
  <si>
    <t>20000 m3</t>
  </si>
  <si>
    <t>DIGUES ET REINSTALLAT</t>
  </si>
  <si>
    <t>Protection des population contre les crues du fleuve</t>
  </si>
  <si>
    <t>4500 ml</t>
  </si>
  <si>
    <t>Gestion des eaux pluviales et prévention des inondations</t>
  </si>
  <si>
    <t>Programme de Gestion intégrée des Ressources en Eau (PGIRE)</t>
  </si>
  <si>
    <t>Planification et mise en œuvre territorialisée de la GIRE</t>
  </si>
  <si>
    <t>Amélioration de la recharge et de la gestion des eaux souterraines/ PISEA-DGPRE</t>
  </si>
  <si>
    <t>Barrage de Panthior est réhabilité et fonctionnel</t>
  </si>
  <si>
    <t>800 000 000</t>
  </si>
  <si>
    <t>843 069 548</t>
  </si>
  <si>
    <t>Le recrutement du bureau n’a pas encore démarré, mais les actions concrètes à réaliser sont déjà identifiées</t>
  </si>
  <si>
    <t>Projet de protection des ressources en eau de la zone de captage de Pout à travers des solutions fondées sur la nature</t>
  </si>
  <si>
    <t>Réhabilitation du Bassin de rétention de Mont-Rolland</t>
  </si>
  <si>
    <t>90 000 000</t>
  </si>
  <si>
    <t>Plateforme de dialogue multi-acteur réalisée</t>
  </si>
  <si>
    <t>60 000 000</t>
  </si>
  <si>
    <t>Acquisition d’équipements et installation</t>
  </si>
  <si>
    <t>50 000 000</t>
  </si>
  <si>
    <t>Conception d’un guide pour une gestion raisonnée de l’eau</t>
  </si>
  <si>
    <t>Appui à la mise en œuvre du PAGIRE (Volet GIRE du PASEA-RD)</t>
  </si>
  <si>
    <t>Passation des différents marchés en cours</t>
  </si>
  <si>
    <t>Les stations de mesures sont réhabilitées</t>
  </si>
  <si>
    <t>39 850 000 FCFA</t>
  </si>
  <si>
    <t>4 ième trimestre 2026</t>
  </si>
  <si>
    <t>Réactualisation du bilan diagnostic des ressources en eau du Sénégal</t>
  </si>
  <si>
    <t>Le bilan diagnostic des ressources en eau est réactualisé</t>
  </si>
  <si>
    <t>30 000 000 FCFA</t>
  </si>
  <si>
    <t>Travaux de nettoyage (airliftage) de 10 piézomètres dans les zones de suivi des eaux souterraines au Sénégal</t>
  </si>
  <si>
    <t>10 piézomètres sont nettoyés</t>
  </si>
  <si>
    <t>26 000 000</t>
  </si>
  <si>
    <t>20 000 000</t>
  </si>
  <si>
    <t>le DAO est élaboré</t>
  </si>
  <si>
    <t>Travaux de réhabilitation, remplacement d’accessoires (batteries, panneaux solaires, embouts diffuseurs), construction d’abris de protection et de guérites de 25 stations automatiques de mesure des niveaux d’eau dans les bassins des fleuves Sénégal, Gambie, Casamance et Kayanga</t>
  </si>
  <si>
    <t>Travaux de remise à niveau des supports et dalles de 20 piézomètres dans le triangle Dakar-Mbour-Thiès</t>
  </si>
  <si>
    <t xml:space="preserve">Les supports et dalles des piézomètres dans le DMT sont remis á niveau </t>
  </si>
  <si>
    <t>Réhabilitation de la digue de Bango phase 2</t>
  </si>
  <si>
    <t>Réhabilitation de 8 km de digue dans la réserve de Bango.</t>
  </si>
  <si>
    <t>Travaux de faucardage du Yeti Yone depuis la jonction avec le Lac de Guiers jusqu’à la grande mare</t>
  </si>
  <si>
    <t>Enlèvement des végétaux aquatiques sur le chenal Yeti Yone</t>
  </si>
  <si>
    <t>Le faible d’exécution financière est dû à la ponction budgétaire de la LFR 2025</t>
  </si>
  <si>
    <t>Travaux de construction d’une digue de protection à Nder ;</t>
  </si>
  <si>
    <t>Construction de 1, k km de digue dans le village de Nder.</t>
  </si>
  <si>
    <t>La procédure de marché est en cours</t>
  </si>
  <si>
    <t>Travaux d'aménagement de la mare de Bidanga à Médina Mary</t>
  </si>
  <si>
    <t>Aménagement de la mare pour l’alimentation d’eau de plus de 6000 têtes de bétails</t>
  </si>
  <si>
    <t>La procédure de passation de marché n’a pas encore démarré</t>
  </si>
  <si>
    <t>Travaux d’aménagement des mares Wodoss et Wendou Sali et construction d’une digue de protection à Nguidjilone (Département de Matam)</t>
  </si>
  <si>
    <t>Construction de 8 km de digues de protection de la ville contre les crues du fleuve Sénégal ;</t>
  </si>
  <si>
    <t>Le marché est en approbation au MFB</t>
  </si>
  <si>
    <t>Travaux de construction d’un mini barrage de retenu à Lambidou à Médina Mary</t>
  </si>
  <si>
    <t>Construction du mini barrage de retenu dans le cours  d’eau Lambidou à Médina Mary</t>
  </si>
  <si>
    <t>Etude d’exécution en cours</t>
  </si>
  <si>
    <t>Réhabilitation de la digue ;</t>
  </si>
  <si>
    <t>Travaux de faucardage et de désencombrement du bras de Nioro dans le Baobololong</t>
  </si>
  <si>
    <t>Enlèvement des végétaux aquatiques sur le Baobolong</t>
  </si>
  <si>
    <t>Travaux de faucardage et de désencombrement au droit de l’ouvrage de Touba Baria dans le Djikoye.</t>
  </si>
  <si>
    <t>Enlèvement des végétaux aquatiques sur le Djikoye</t>
  </si>
  <si>
    <t>La procédure de passation de marché n’a pas encore démarré.</t>
  </si>
  <si>
    <t>Travaux de réhabilitation de la digue de Pakh - CSS - Bounthou Bath dans le cadre du PISEA</t>
  </si>
  <si>
    <t>Réhabilitation de la digue de Pakh</t>
  </si>
  <si>
    <t>Travaux de modernisation de l’ouvrage de Richard TOLL</t>
  </si>
  <si>
    <t>Enlèvement de 30 vannes de l’ouvrage de Ndombo pour améliorer l’hydraulicité dans le Touey ;</t>
  </si>
  <si>
    <t>La procédure de marché est en cours.</t>
  </si>
  <si>
    <t>Travaux d’aménagement du bassin versant du Nanija Bolong</t>
  </si>
  <si>
    <t>Les études d’exécution sont bouclées.</t>
  </si>
  <si>
    <t>Réalisation de digues de protection ;</t>
  </si>
  <si>
    <t>Aménagement d’ouvrages de décharges d’eaux pluviales</t>
  </si>
  <si>
    <t>La gestion intégrée des ressources en eau est mise en œuvre</t>
  </si>
  <si>
    <t>2 Etudes de mobilisation et mise en œuvre de la GIRE élaborées</t>
  </si>
  <si>
    <t>PISEA /SONES</t>
  </si>
  <si>
    <t>Travaux d'extension de réseaux et de
branchements à l'eau potable</t>
  </si>
  <si>
    <t>1 452 000 000</t>
  </si>
  <si>
    <t>Programme intermédiaire AEP Dakar
2024-2028</t>
  </si>
  <si>
    <t>3 301 000 000</t>
  </si>
  <si>
    <t>Linéaire de reseau erealisé :
Nombre de branchements réalisés :</t>
  </si>
  <si>
    <t>Realisation d'ouvrages de production et de stockage</t>
  </si>
  <si>
    <t xml:space="preserve">110 000 000 </t>
  </si>
  <si>
    <t>73 000 000</t>
  </si>
  <si>
    <t>2 009 000 000</t>
  </si>
  <si>
    <t xml:space="preserve">1 109 000 000 </t>
  </si>
  <si>
    <t>338 000 000</t>
  </si>
  <si>
    <t>438 000 000</t>
  </si>
  <si>
    <t>4ème trimestre</t>
  </si>
  <si>
    <t>1er trimestre</t>
  </si>
  <si>
    <t>3ème trimestre</t>
  </si>
  <si>
    <t>2ème trimestre</t>
  </si>
  <si>
    <t xml:space="preserve"> Les réalisations de 600 latrines familiales dans les régions de Ziguinchor, Kolda et Sédhiou dans le cadre du plan Diomaye pour la Casamance sont effectives</t>
  </si>
  <si>
    <t>La réalisation de 430 latrines familiales dans les régions de Fatick, Diourbel, Thiès et Kafrine est effective</t>
  </si>
  <si>
    <t>La réalisation de 15 d'édicules publics dans les régions de Thiès, Kaolack et Diourbel est effective</t>
  </si>
  <si>
    <t>La réalisation de 65 Latrines Familiales dans la région de St Louis est effective</t>
  </si>
  <si>
    <t>La réalisation de 10 d'édicules publics dans la région de St Louis est effective</t>
  </si>
  <si>
    <t>La réalisation des 48 latrines restantes des 200 latrines à Matam est complétée</t>
  </si>
  <si>
    <t>La réalisation des 111 latrines restantes des 200 latrines à Kaffrine : Lot 3 est complétée</t>
  </si>
  <si>
    <t>La réalisation des 100 latrines restantes des  200 latrines à Kaffrine : Lot 4 est complétée</t>
  </si>
  <si>
    <t>La réalisation d'un (01) restant des  05 édicules à Colobane (Fatick) est complétée</t>
  </si>
  <si>
    <t>Le suivi-Contrôle Edicules des ouvrages réalisées dans le cadre du PDC est mis en œuvre</t>
  </si>
  <si>
    <t>L'étude cartographie des besoins en services d'assainissement des villages riverains du LG et étude des variantes technologiques est réalisée</t>
  </si>
  <si>
    <t>L'étude d'impact environnemental et Social est réalisée</t>
  </si>
  <si>
    <t>La construction des 9 restants EDP des 27 EDP dans les régions de Kaffrine et de Louga est complétée</t>
  </si>
  <si>
    <t>La révision de la NS 05061 standard est réalisée</t>
  </si>
  <si>
    <t>L'étude sur les financements dans le secteur Wash au Sénégal trackfin  est réalisée</t>
  </si>
  <si>
    <t>Le développement d'un système global assainissement est mis en œuvre</t>
  </si>
  <si>
    <t>Le parametrage de l'outils de gestion de la comptabilité du projet SANGOV, ATPC et Police de l'assainissement est effectif</t>
  </si>
  <si>
    <t>L'appui à la mise en œuvre de l'enquete WASH est effectif</t>
  </si>
  <si>
    <t>2e trimestre</t>
  </si>
  <si>
    <t>PISEA</t>
  </si>
  <si>
    <t>PSEA</t>
  </si>
  <si>
    <t>SANGOV</t>
  </si>
  <si>
    <t>PASEA-RD</t>
  </si>
  <si>
    <t>Réalisation d’une étude diagnostique et stratégique pour le Service d’hygiène National</t>
  </si>
  <si>
    <t>Analyse situationnelle et étude de marché pour le santitation marketing dans les départements de Ranérou, Kanel et Matam</t>
  </si>
  <si>
    <t>Réalisation d'ouvrages d'assainissement autonome</t>
  </si>
  <si>
    <t>37 666 666</t>
  </si>
  <si>
    <t>Projet d'approvisionnement en eau en milieu rural/phase 2 (PAEMIR2)</t>
  </si>
  <si>
    <t>De nouveaux  forages sont réalisés</t>
  </si>
  <si>
    <t>Nombre de forages réalisés = 24</t>
  </si>
  <si>
    <t>Des Châteaux d'eau sont réalisés</t>
  </si>
  <si>
    <t>Nombre de châteaux d'eau réalisés = 23</t>
  </si>
  <si>
    <t>Des  réseaux d'AEP sont réalisés</t>
  </si>
  <si>
    <t>Nombre Km de réseau AEP  réalisés = 193</t>
  </si>
  <si>
    <t>Des abreuvoirs sont réalisés</t>
  </si>
  <si>
    <t>Nombre d'abreuvoirs réalisés = 30</t>
  </si>
  <si>
    <t>Des potences sont réalisés</t>
  </si>
  <si>
    <t>Nombre de potences réalisés = 10</t>
  </si>
  <si>
    <t>Des branchements particuliers sont réalisés</t>
  </si>
  <si>
    <t>Nombre de branchements particuliers réalisés = 1 600</t>
  </si>
  <si>
    <t>Des bornes fontaines sont réalisées</t>
  </si>
  <si>
    <t>Nombre de bornes fontaines réalisés = 40</t>
  </si>
  <si>
    <t>Des UPT sont réalisés</t>
  </si>
  <si>
    <t>Nombre d'UPT réalisés = 1</t>
  </si>
  <si>
    <t>Projet d'accès aux services sécurisés d'eau et d'assainissement pour une résilience durable dans les zones défavorisées (PASEA-RD)</t>
  </si>
  <si>
    <t>Nbre d'unités de potabilisation réalisés =5</t>
  </si>
  <si>
    <t>Des forages sont réalisés</t>
  </si>
  <si>
    <t>Nbre de forages réalisés = 4</t>
  </si>
  <si>
    <t>Des forages sont équipés</t>
  </si>
  <si>
    <t>Nbre de forages équipés = 4</t>
  </si>
  <si>
    <t>Nbre de  châteaux d'eau réalisés =2</t>
  </si>
  <si>
    <t>Nbre de km réseau réalisés = 85</t>
  </si>
  <si>
    <t>Nombre de km de réseaux réalisés = 100</t>
  </si>
  <si>
    <t>Des branchements sociaux sont réalisés</t>
  </si>
  <si>
    <t>Nbre de branchements sociaux réalisés = 5 000</t>
  </si>
  <si>
    <t>Projet de renforcement des systèmes d'alimentation en eau potable dans la région de Ziguinchor (Diembéring, Djinaky et Kataba 1)</t>
  </si>
  <si>
    <t>Des châteaux d'eau sont réalisés</t>
  </si>
  <si>
    <t>châteaux  d'eau réalisés = 2</t>
  </si>
  <si>
    <t>forages réalisés = 2</t>
  </si>
  <si>
    <t>forages équipés =2</t>
  </si>
  <si>
    <t>Des réseaux AEP sont réalisés</t>
  </si>
  <si>
    <t>Nbre de km de réseaux réalisés</t>
  </si>
  <si>
    <t>Amélioration de la qualité du service d'eau (AQSE)</t>
  </si>
  <si>
    <t>Des  forages sont renouvelés</t>
  </si>
  <si>
    <t>Nombre de forages renouvelés = 32</t>
  </si>
  <si>
    <t>Des compteurs sont fournis</t>
  </si>
  <si>
    <t>Nombre de compterurs fournis = 5 215</t>
  </si>
  <si>
    <t xml:space="preserve">Des unités de chloration sont installées </t>
  </si>
  <si>
    <t>Nombre d'unités de chloration  installées  = 30</t>
  </si>
  <si>
    <t>Des réservoirs au sol sont réhabilités</t>
  </si>
  <si>
    <t>Nbre de réservoirs au sol réhabilité = 1</t>
  </si>
  <si>
    <t>Projet d'Urgence et de Renforcement des Systèmes de Distribution d'Eau Potable (PURSDEP)</t>
  </si>
  <si>
    <t>Des forages sont renouvelés, équipés et raccordés</t>
  </si>
  <si>
    <t>Nombre de forages renouvelés, équipés et raccordés = 60</t>
  </si>
  <si>
    <t>Des pompes immergées sont fournies</t>
  </si>
  <si>
    <t>Nombre de  pompes  immergés fournies = 50</t>
  </si>
  <si>
    <t>Des châteaux d'eau sont renouvelés</t>
  </si>
  <si>
    <t>Nombre de  châteaux d'eau renouvelés =15</t>
  </si>
  <si>
    <t>Des UPT sont renouvelés</t>
  </si>
  <si>
    <t>Nombre d' UPT renouvelés = 2</t>
  </si>
  <si>
    <t>Des kits de branchements sont fournis</t>
  </si>
  <si>
    <t>Nombre de  kits de branchements fournies = 3000</t>
  </si>
  <si>
    <t>Des réseaux AEP sont renouivelés</t>
  </si>
  <si>
    <t>Nombre de km  de réseaux fournis et posé =90</t>
  </si>
  <si>
    <t>Le château d'eau de diembering est stabilisé</t>
  </si>
  <si>
    <t>Nombre de château d'eau stabilisé = 1</t>
  </si>
  <si>
    <t>Des réseaux d'AEP sont renouvelés</t>
  </si>
  <si>
    <t>Nbre de km de réseaux posé = 45</t>
  </si>
  <si>
    <t>Dec 2026</t>
  </si>
  <si>
    <t>Programme Assainisssement et Gestion des Eaux Pluviales</t>
  </si>
  <si>
    <r>
      <t xml:space="preserve">PROGRAMME DE RENFORCEMENT DES SYSTÈMES D'ALIMENTATION EN EAU POTABLE DE TROIS VILLES : SAINT LOUIS, KAOLACK ET KOLDA </t>
    </r>
    <r>
      <rPr>
        <b/>
        <sz val="12"/>
        <rFont val="Arial"/>
        <family val="2"/>
      </rPr>
      <t xml:space="preserve">- </t>
    </r>
    <r>
      <rPr>
        <sz val="12"/>
        <rFont val="Arial"/>
        <family val="2"/>
      </rPr>
      <t>DON</t>
    </r>
  </si>
  <si>
    <r>
      <t>2</t>
    </r>
    <r>
      <rPr>
        <vertAlign val="superscript"/>
        <sz val="12"/>
        <color theme="1"/>
        <rFont val="Arial"/>
        <family val="2"/>
      </rPr>
      <t>ième</t>
    </r>
    <r>
      <rPr>
        <sz val="12"/>
        <color theme="1"/>
        <rFont val="Arial"/>
        <family val="2"/>
      </rPr>
      <t xml:space="preserve"> trimestre 2027</t>
    </r>
  </si>
  <si>
    <r>
      <t>4</t>
    </r>
    <r>
      <rPr>
        <vertAlign val="superscript"/>
        <sz val="12"/>
        <color theme="1"/>
        <rFont val="Arial"/>
        <family val="2"/>
      </rPr>
      <t>ième</t>
    </r>
    <r>
      <rPr>
        <sz val="12"/>
        <color theme="1"/>
        <rFont val="Arial"/>
        <family val="2"/>
      </rPr>
      <t xml:space="preserve"> trimestre 2026</t>
    </r>
  </si>
  <si>
    <r>
      <t>1</t>
    </r>
    <r>
      <rPr>
        <vertAlign val="superscript"/>
        <sz val="12"/>
        <color theme="1"/>
        <rFont val="Arial"/>
        <family val="2"/>
      </rPr>
      <t>er</t>
    </r>
    <r>
      <rPr>
        <sz val="12"/>
        <color theme="1"/>
        <rFont val="Arial"/>
        <family val="2"/>
      </rPr>
      <t xml:space="preserve"> trimestre 2027</t>
    </r>
  </si>
  <si>
    <t>GESTION DES EAUX DE SURFACE</t>
  </si>
  <si>
    <t>60.000</t>
  </si>
  <si>
    <r>
      <t>4</t>
    </r>
    <r>
      <rPr>
        <vertAlign val="superscript"/>
        <sz val="11"/>
        <color theme="1"/>
        <rFont val="Tahoma"/>
        <family val="2"/>
      </rPr>
      <t>ème</t>
    </r>
    <r>
      <rPr>
        <sz val="11"/>
        <color theme="1"/>
        <rFont val="Tahoma"/>
        <family val="2"/>
      </rPr>
      <t xml:space="preserve"> trimestre</t>
    </r>
  </si>
  <si>
    <r>
      <t>3</t>
    </r>
    <r>
      <rPr>
        <vertAlign val="superscript"/>
        <sz val="11"/>
        <color theme="1"/>
        <rFont val="Tahoma"/>
        <family val="2"/>
      </rPr>
      <t>ème</t>
    </r>
    <r>
      <rPr>
        <sz val="11"/>
        <color theme="1"/>
        <rFont val="Tahoma"/>
        <family val="2"/>
      </rPr>
      <t xml:space="preserve"> trimestre</t>
    </r>
  </si>
  <si>
    <r>
      <t>Travaux d’aménagement de la mare de Béllé dans la commune de Béllé à Bakel ; 1</t>
    </r>
    <r>
      <rPr>
        <vertAlign val="superscript"/>
        <sz val="10"/>
        <color rgb="FF000000"/>
        <rFont val="Tahoma"/>
        <family val="2"/>
      </rPr>
      <t>er</t>
    </r>
    <r>
      <rPr>
        <sz val="10"/>
        <color rgb="FF000000"/>
        <rFont val="Tahoma"/>
        <family val="2"/>
      </rPr>
      <t xml:space="preserve"> partie</t>
    </r>
  </si>
  <si>
    <t>Curage, recalibrage et endiguement du bras principal entre le pont de Koungheul et l’ouvrage anti-sel de Sam Pathé Wilane;</t>
  </si>
  <si>
    <r>
      <t>Réhabilitation d’ouvrages de retenu existant ;</t>
    </r>
    <r>
      <rPr>
        <sz val="12"/>
        <color rgb="FF000000"/>
        <rFont val="Times New Roman"/>
        <family val="1"/>
      </rPr>
      <t xml:space="preserve"> </t>
    </r>
  </si>
  <si>
    <t>Linéaire dragué et recalibré</t>
  </si>
  <si>
    <t>Nombre de barrage de retenue réalisé / Réhabilité</t>
  </si>
  <si>
    <t>nombre de barrage antisel construit /réhabilité</t>
  </si>
  <si>
    <t>Nombre d'ouvrages de franchissement construit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</si>
</sst>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 _€_-;\-* #,##0.00\ _€_-;_-* &quot;-&quot;??\ _€_-;_-@_-"/>
    <numFmt numFmtId="164" formatCode="_ * #,##0_)\ _F_ _C_F_A_ ;_ * \(#,##0\)\ _F_ _C_F_A_ ;_ * &quot;-&quot;_)\ _F_ _C_F_A_ ;_ @_ "/>
    <numFmt numFmtId="165" formatCode="_ * #,##0.00_)\ _F_ _C_F_A_ ;_ * \(#,##0.00\)\ _F_ _C_F_A_ ;_ * &quot;-&quot;??_)\ _F_ _C_F_A_ ;@"/>
    <numFmt numFmtId="166" formatCode="_-* #,##0\ _€_-;\-* #,##0\ _€_-;_-* &quot;-&quot;??\ _€_-;_-@_-"/>
    <numFmt numFmtId="167" formatCode="_(* #,##0_);_(* \(#,##0\);_(* &quot;-&quot;??_);_(@_)"/>
    <numFmt numFmtId="168" formatCode="_-* #,##0.00\ [$CFA-867]_-;\-* #,##0.00\ [$CFA-867]_-;_-* &quot;-&quot;??\ [$CFA-867]_-;_-@_-"/>
    <numFmt numFmtId="169" formatCode="_ * #,##0_)\ _F_ _C_F_A_ ;_ * \(#,##0\)\ _F_ _C_F_A_ ;_ * &quot;-&quot;??_)\ _F_ _C_F_A_ ;@"/>
  </numFmts>
  <fonts count="23" x14ac:knownFonts="1">
    <font>
      <sz val="11"/>
      <color theme="1"/>
      <name val="Calibri"/>
      <family val="2"/>
      <scheme val="minor"/>
    </font>
    <font>
      <sz val="11"/>
      <color theme="1"/>
      <name val="Calibri"/>
      <family val="2"/>
      <scheme val="minor"/>
    </font>
    <font>
      <sz val="11"/>
      <color indexed="8"/>
      <name val="Calibri"/>
      <family val="2"/>
      <scheme val="minor"/>
    </font>
    <font>
      <b/>
      <sz val="12"/>
      <color theme="1"/>
      <name val="Arial"/>
      <family val="2"/>
    </font>
    <font>
      <sz val="12"/>
      <color theme="1"/>
      <name val="Arial"/>
      <family val="2"/>
    </font>
    <font>
      <sz val="12"/>
      <name val="Arial"/>
      <family val="2"/>
    </font>
    <font>
      <b/>
      <sz val="12"/>
      <name val="Arial"/>
      <family val="2"/>
    </font>
    <font>
      <b/>
      <sz val="12"/>
      <color rgb="FF000000"/>
      <name val="Arial"/>
      <family val="2"/>
    </font>
    <font>
      <sz val="12"/>
      <color rgb="FF000000"/>
      <name val="Arial"/>
      <family val="2"/>
    </font>
    <font>
      <b/>
      <sz val="16"/>
      <color rgb="FF000000"/>
      <name val="Arial"/>
      <family val="2"/>
    </font>
    <font>
      <sz val="11"/>
      <color theme="1"/>
      <name val="Arial"/>
      <family val="2"/>
    </font>
    <font>
      <b/>
      <sz val="14"/>
      <color theme="1"/>
      <name val="Arial"/>
      <family val="2"/>
    </font>
    <font>
      <b/>
      <sz val="14"/>
      <color rgb="FF000000"/>
      <name val="Arial"/>
      <family val="2"/>
    </font>
    <font>
      <b/>
      <sz val="16"/>
      <color theme="1"/>
      <name val="Arial"/>
      <family val="2"/>
    </font>
    <font>
      <sz val="12"/>
      <color rgb="FFFF0000"/>
      <name val="Arial"/>
      <family val="2"/>
    </font>
    <font>
      <vertAlign val="superscript"/>
      <sz val="12"/>
      <color theme="1"/>
      <name val="Arial"/>
      <family val="2"/>
    </font>
    <font>
      <b/>
      <i/>
      <sz val="10"/>
      <color rgb="FF0000CC"/>
      <name val="Tahoma"/>
      <family val="2"/>
    </font>
    <font>
      <sz val="10"/>
      <color rgb="FF000000"/>
      <name val="Tahoma"/>
      <family val="2"/>
    </font>
    <font>
      <sz val="11"/>
      <color theme="1"/>
      <name val="Tahoma"/>
      <family val="2"/>
    </font>
    <font>
      <vertAlign val="superscript"/>
      <sz val="11"/>
      <color theme="1"/>
      <name val="Tahoma"/>
      <family val="2"/>
    </font>
    <font>
      <sz val="10"/>
      <color theme="1"/>
      <name val="Tahoma"/>
      <family val="2"/>
    </font>
    <font>
      <vertAlign val="superscript"/>
      <sz val="10"/>
      <color rgb="FF000000"/>
      <name val="Tahoma"/>
      <family val="2"/>
    </font>
    <font>
      <sz val="12"/>
      <color rgb="FF000000"/>
      <name val="Times New Roman"/>
      <family val="1"/>
    </font>
  </fonts>
  <fills count="3">
    <fill>
      <patternFill patternType="none"/>
    </fill>
    <fill>
      <patternFill patternType="gray125"/>
    </fill>
    <fill>
      <patternFill patternType="solid">
        <fgColor rgb="FFFFFF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43" fontId="2" fillId="0" borderId="0" applyFont="0" applyFill="0" applyBorder="0" applyAlignment="0" applyProtection="0"/>
  </cellStyleXfs>
  <cellXfs count="120">
    <xf numFmtId="0" fontId="0" fillId="0" borderId="0" xfId="0"/>
    <xf numFmtId="0" fontId="0" fillId="0" borderId="1" xfId="0" applyBorder="1"/>
    <xf numFmtId="169" fontId="8" fillId="0" borderId="1" xfId="1" applyNumberFormat="1" applyFont="1" applyFill="1" applyBorder="1" applyAlignment="1">
      <alignment horizontal="right" vertical="center" wrapText="1"/>
    </xf>
    <xf numFmtId="3" fontId="10" fillId="0" borderId="1" xfId="1" applyNumberFormat="1" applyFont="1" applyFill="1" applyBorder="1" applyAlignment="1">
      <alignment horizontal="right"/>
    </xf>
    <xf numFmtId="0" fontId="4" fillId="0" borderId="0" xfId="0" applyFont="1" applyFill="1"/>
    <xf numFmtId="0" fontId="4" fillId="0" borderId="0" xfId="0" applyFont="1" applyFill="1" applyAlignment="1">
      <alignment horizontal="left"/>
    </xf>
    <xf numFmtId="0" fontId="4" fillId="0" borderId="0" xfId="0" applyFont="1" applyFill="1" applyAlignment="1">
      <alignment horizontal="right"/>
    </xf>
    <xf numFmtId="0" fontId="4" fillId="0" borderId="0" xfId="0" applyFont="1" applyFill="1" applyAlignment="1">
      <alignment horizontal="center"/>
    </xf>
    <xf numFmtId="0" fontId="3" fillId="0" borderId="1" xfId="0" applyFont="1" applyFill="1" applyBorder="1" applyAlignment="1">
      <alignment horizontal="center" vertical="center" wrapText="1"/>
    </xf>
    <xf numFmtId="0" fontId="3" fillId="0" borderId="1" xfId="0" applyFont="1" applyFill="1" applyBorder="1" applyAlignment="1">
      <alignment vertical="center"/>
    </xf>
    <xf numFmtId="9" fontId="3" fillId="0" borderId="1" xfId="3" applyFont="1" applyFill="1" applyBorder="1" applyAlignment="1">
      <alignment horizontal="center" vertical="center" wrapText="1"/>
    </xf>
    <xf numFmtId="0" fontId="5" fillId="0" borderId="1" xfId="0" applyFont="1" applyFill="1" applyBorder="1" applyAlignment="1">
      <alignment wrapText="1"/>
    </xf>
    <xf numFmtId="0" fontId="5" fillId="0" borderId="1" xfId="0" applyFont="1" applyFill="1" applyBorder="1" applyAlignment="1">
      <alignment horizontal="center" vertical="center" wrapText="1"/>
    </xf>
    <xf numFmtId="3" fontId="4" fillId="0" borderId="1" xfId="0" applyNumberFormat="1" applyFont="1" applyFill="1" applyBorder="1" applyAlignment="1">
      <alignment horizontal="center" vertical="center" wrapText="1"/>
    </xf>
    <xf numFmtId="0" fontId="4" fillId="0" borderId="0" xfId="0" applyFont="1" applyFill="1" applyAlignment="1">
      <alignment wrapText="1"/>
    </xf>
    <xf numFmtId="0" fontId="5" fillId="0" borderId="1" xfId="0" applyFont="1" applyFill="1" applyBorder="1" applyAlignment="1">
      <alignment horizontal="center" vertical="center"/>
    </xf>
    <xf numFmtId="0" fontId="5" fillId="0" borderId="1" xfId="0" applyFont="1" applyFill="1" applyBorder="1"/>
    <xf numFmtId="0" fontId="5" fillId="0" borderId="1" xfId="0" applyFont="1" applyFill="1" applyBorder="1" applyAlignment="1">
      <alignment horizontal="left" vertical="center" wrapText="1"/>
    </xf>
    <xf numFmtId="0" fontId="5" fillId="0" borderId="1" xfId="0" applyFont="1" applyFill="1" applyBorder="1" applyAlignment="1">
      <alignment vertical="center" wrapText="1"/>
    </xf>
    <xf numFmtId="3" fontId="4" fillId="0" borderId="1" xfId="0" applyNumberFormat="1" applyFont="1" applyFill="1" applyBorder="1" applyAlignment="1">
      <alignment horizontal="right" vertical="center"/>
    </xf>
    <xf numFmtId="3" fontId="4" fillId="0" borderId="1" xfId="0" applyNumberFormat="1" applyFont="1" applyFill="1" applyBorder="1" applyAlignment="1">
      <alignment horizontal="center" vertical="center"/>
    </xf>
    <xf numFmtId="0" fontId="4" fillId="0" borderId="1" xfId="0" applyFont="1" applyFill="1" applyBorder="1" applyAlignment="1">
      <alignment wrapText="1"/>
    </xf>
    <xf numFmtId="0" fontId="4" fillId="0" borderId="1" xfId="0" applyFont="1" applyFill="1" applyBorder="1"/>
    <xf numFmtId="0" fontId="4" fillId="0" borderId="1" xfId="0" applyFont="1" applyFill="1" applyBorder="1" applyAlignment="1">
      <alignment horizontal="right"/>
    </xf>
    <xf numFmtId="0" fontId="4" fillId="0" borderId="1" xfId="0" applyFont="1" applyFill="1" applyBorder="1" applyAlignment="1">
      <alignment horizontal="center"/>
    </xf>
    <xf numFmtId="3" fontId="4" fillId="0" borderId="1" xfId="0" applyNumberFormat="1" applyFont="1" applyFill="1" applyBorder="1" applyAlignment="1">
      <alignment horizontal="right"/>
    </xf>
    <xf numFmtId="0" fontId="8" fillId="0" borderId="1" xfId="0" applyFont="1" applyFill="1" applyBorder="1" applyAlignment="1">
      <alignment horizontal="left" vertical="center" wrapText="1"/>
    </xf>
    <xf numFmtId="0" fontId="8" fillId="0" borderId="1" xfId="0" applyFont="1" applyFill="1" applyBorder="1" applyAlignment="1">
      <alignment horizontal="center" vertical="center" wrapText="1"/>
    </xf>
    <xf numFmtId="9" fontId="8" fillId="0"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3" fontId="5" fillId="0" borderId="1" xfId="0" applyNumberFormat="1" applyFont="1" applyFill="1" applyBorder="1" applyAlignment="1">
      <alignment horizontal="right" vertical="center"/>
    </xf>
    <xf numFmtId="0" fontId="10" fillId="0" borderId="1" xfId="0" applyFont="1" applyFill="1" applyBorder="1" applyAlignment="1">
      <alignment wrapText="1"/>
    </xf>
    <xf numFmtId="0" fontId="10" fillId="0" borderId="1" xfId="0" applyFont="1" applyFill="1" applyBorder="1"/>
    <xf numFmtId="3" fontId="10" fillId="0" borderId="1" xfId="0" applyNumberFormat="1" applyFont="1" applyFill="1" applyBorder="1" applyAlignment="1">
      <alignment horizontal="right"/>
    </xf>
    <xf numFmtId="0" fontId="10" fillId="0" borderId="1" xfId="0" applyFont="1" applyFill="1" applyBorder="1" applyAlignment="1">
      <alignment horizontal="left" vertical="center" wrapText="1"/>
    </xf>
    <xf numFmtId="9" fontId="10" fillId="0" borderId="1" xfId="0" applyNumberFormat="1" applyFont="1" applyFill="1" applyBorder="1"/>
    <xf numFmtId="0" fontId="10" fillId="0" borderId="1" xfId="0" applyFont="1" applyFill="1" applyBorder="1" applyAlignment="1">
      <alignment horizontal="center" vertical="center" wrapText="1"/>
    </xf>
    <xf numFmtId="166" fontId="5" fillId="0" borderId="1" xfId="0" applyNumberFormat="1" applyFont="1" applyFill="1" applyBorder="1" applyAlignment="1">
      <alignment vertical="center" wrapText="1"/>
    </xf>
    <xf numFmtId="166" fontId="5" fillId="0" borderId="1" xfId="0" applyNumberFormat="1" applyFont="1" applyFill="1" applyBorder="1" applyAlignment="1">
      <alignment horizontal="right" vertical="center" wrapText="1"/>
    </xf>
    <xf numFmtId="166" fontId="8" fillId="0" borderId="1" xfId="0" applyNumberFormat="1" applyFont="1" applyFill="1" applyBorder="1" applyAlignment="1">
      <alignment vertical="center"/>
    </xf>
    <xf numFmtId="166" fontId="8" fillId="0" borderId="1" xfId="1" applyNumberFormat="1" applyFont="1" applyFill="1" applyBorder="1" applyAlignment="1">
      <alignment vertical="center"/>
    </xf>
    <xf numFmtId="166" fontId="5" fillId="0" borderId="1" xfId="0" applyNumberFormat="1" applyFont="1" applyFill="1" applyBorder="1" applyAlignment="1">
      <alignment horizontal="left" vertical="center" wrapText="1"/>
    </xf>
    <xf numFmtId="166" fontId="8" fillId="0" borderId="1" xfId="0" applyNumberFormat="1" applyFont="1" applyFill="1" applyBorder="1" applyAlignment="1">
      <alignment horizontal="left" vertical="center" wrapText="1"/>
    </xf>
    <xf numFmtId="166" fontId="8" fillId="0" borderId="1" xfId="0" applyNumberFormat="1" applyFont="1" applyFill="1" applyBorder="1" applyAlignment="1">
      <alignment horizontal="center" vertical="center"/>
    </xf>
    <xf numFmtId="0" fontId="4"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16" fontId="4" fillId="0" borderId="1" xfId="0" applyNumberFormat="1" applyFont="1" applyFill="1" applyBorder="1" applyAlignment="1">
      <alignment horizontal="center" vertical="center" wrapText="1"/>
    </xf>
    <xf numFmtId="9" fontId="4" fillId="0" borderId="1" xfId="3" applyFont="1" applyFill="1" applyBorder="1" applyAlignment="1">
      <alignment horizontal="center" vertical="center" wrapText="1"/>
    </xf>
    <xf numFmtId="0" fontId="3" fillId="0" borderId="1" xfId="0" applyFont="1" applyFill="1" applyBorder="1" applyAlignment="1">
      <alignment vertical="center" wrapText="1"/>
    </xf>
    <xf numFmtId="167" fontId="3" fillId="0" borderId="1" xfId="1" applyNumberFormat="1" applyFont="1" applyFill="1" applyBorder="1" applyAlignment="1">
      <alignment vertical="center" wrapText="1"/>
    </xf>
    <xf numFmtId="17" fontId="4" fillId="0" borderId="1" xfId="0" applyNumberFormat="1" applyFont="1" applyFill="1" applyBorder="1" applyAlignment="1">
      <alignment horizontal="center" vertical="center" wrapText="1"/>
    </xf>
    <xf numFmtId="167" fontId="4" fillId="0" borderId="1" xfId="1" applyNumberFormat="1" applyFont="1" applyFill="1" applyBorder="1" applyAlignment="1">
      <alignment horizontal="center" vertical="center" wrapText="1"/>
    </xf>
    <xf numFmtId="0" fontId="7" fillId="0" borderId="1" xfId="0" applyFont="1" applyFill="1" applyBorder="1" applyAlignment="1">
      <alignment vertical="center" wrapText="1"/>
    </xf>
    <xf numFmtId="9" fontId="4" fillId="0" borderId="1" xfId="0" applyNumberFormat="1" applyFont="1" applyFill="1" applyBorder="1" applyAlignment="1">
      <alignment vertical="center" wrapText="1"/>
    </xf>
    <xf numFmtId="0" fontId="14" fillId="0" borderId="1" xfId="0" applyFont="1" applyFill="1" applyBorder="1" applyAlignment="1">
      <alignment vertical="center" wrapText="1"/>
    </xf>
    <xf numFmtId="0" fontId="3" fillId="0" borderId="1" xfId="0" applyFont="1" applyFill="1" applyBorder="1" applyAlignment="1">
      <alignment horizontal="right" vertical="center"/>
    </xf>
    <xf numFmtId="166" fontId="8" fillId="0" borderId="1" xfId="0" applyNumberFormat="1" applyFont="1" applyFill="1" applyBorder="1" applyAlignment="1">
      <alignment horizontal="right" vertical="center"/>
    </xf>
    <xf numFmtId="167" fontId="3" fillId="0" borderId="1" xfId="1" applyNumberFormat="1" applyFont="1" applyFill="1" applyBorder="1" applyAlignment="1">
      <alignment horizontal="right" vertical="center" wrapText="1"/>
    </xf>
    <xf numFmtId="167" fontId="3" fillId="0" borderId="2" xfId="1" applyNumberFormat="1" applyFont="1" applyFill="1" applyBorder="1" applyAlignment="1">
      <alignment vertical="center" wrapText="1"/>
    </xf>
    <xf numFmtId="167" fontId="4" fillId="0" borderId="1" xfId="1" applyNumberFormat="1" applyFont="1" applyFill="1" applyBorder="1" applyAlignment="1">
      <alignment horizontal="right" vertical="center" wrapText="1"/>
    </xf>
    <xf numFmtId="3" fontId="8" fillId="0" borderId="1" xfId="0" applyNumberFormat="1" applyFont="1" applyFill="1" applyBorder="1" applyAlignment="1">
      <alignment horizontal="right" vertical="center"/>
    </xf>
    <xf numFmtId="3" fontId="4" fillId="0" borderId="1" xfId="2" applyNumberFormat="1" applyFont="1" applyFill="1" applyBorder="1" applyAlignment="1">
      <alignment horizontal="right" vertical="center"/>
    </xf>
    <xf numFmtId="3" fontId="4" fillId="0" borderId="1" xfId="2" applyNumberFormat="1" applyFont="1" applyFill="1" applyBorder="1" applyAlignment="1">
      <alignment horizontal="right" vertical="center" wrapText="1"/>
    </xf>
    <xf numFmtId="3" fontId="4" fillId="0" borderId="1" xfId="1" applyNumberFormat="1" applyFont="1" applyFill="1" applyBorder="1" applyAlignment="1">
      <alignment horizontal="right" vertical="center" wrapText="1"/>
    </xf>
    <xf numFmtId="168" fontId="10" fillId="0" borderId="1" xfId="1" applyNumberFormat="1" applyFont="1" applyFill="1" applyBorder="1" applyAlignment="1">
      <alignment horizontal="right"/>
    </xf>
    <xf numFmtId="0" fontId="4" fillId="0" borderId="1" xfId="0" applyFont="1" applyFill="1" applyBorder="1" applyAlignment="1">
      <alignment horizontal="right" vertical="center" wrapText="1"/>
    </xf>
    <xf numFmtId="0" fontId="3" fillId="0" borderId="1" xfId="0" applyFont="1" applyFill="1" applyBorder="1" applyAlignment="1">
      <alignment horizontal="center" vertical="center"/>
    </xf>
    <xf numFmtId="9" fontId="5" fillId="0" borderId="1" xfId="0" applyNumberFormat="1" applyFont="1" applyFill="1" applyBorder="1" applyAlignment="1">
      <alignment horizontal="center" vertical="center" wrapText="1"/>
    </xf>
    <xf numFmtId="0" fontId="4" fillId="0" borderId="1" xfId="0" applyFont="1" applyFill="1" applyBorder="1" applyAlignment="1">
      <alignment horizontal="center" wrapText="1"/>
    </xf>
    <xf numFmtId="0" fontId="10" fillId="0" borderId="1" xfId="0" applyFont="1" applyFill="1" applyBorder="1" applyAlignment="1">
      <alignment horizontal="center"/>
    </xf>
    <xf numFmtId="166" fontId="5" fillId="0" borderId="1" xfId="0" applyNumberFormat="1" applyFont="1" applyFill="1" applyBorder="1" applyAlignment="1">
      <alignment horizontal="center" vertical="center" wrapText="1"/>
    </xf>
    <xf numFmtId="9" fontId="5" fillId="0" borderId="1" xfId="3" applyFont="1" applyFill="1" applyBorder="1" applyAlignment="1">
      <alignment horizontal="center" vertical="center" wrapText="1"/>
    </xf>
    <xf numFmtId="0" fontId="7" fillId="0" borderId="1" xfId="0" applyFont="1" applyFill="1" applyBorder="1" applyAlignment="1">
      <alignment horizontal="center" vertical="center" wrapText="1"/>
    </xf>
    <xf numFmtId="9" fontId="4" fillId="0" borderId="1" xfId="0" applyNumberFormat="1" applyFont="1" applyFill="1" applyBorder="1" applyAlignment="1">
      <alignment horizontal="center"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1" xfId="0" applyFont="1" applyBorder="1" applyAlignment="1">
      <alignment horizontal="center" vertical="center" wrapText="1"/>
    </xf>
    <xf numFmtId="9" fontId="18" fillId="0" borderId="1" xfId="0" applyNumberFormat="1" applyFont="1" applyBorder="1" applyAlignment="1">
      <alignment horizontal="center" vertical="center" wrapText="1"/>
    </xf>
    <xf numFmtId="3" fontId="17" fillId="2" borderId="1" xfId="0" applyNumberFormat="1" applyFont="1" applyFill="1" applyBorder="1" applyAlignment="1">
      <alignment horizontal="center" vertical="center" wrapText="1"/>
    </xf>
    <xf numFmtId="0" fontId="20" fillId="0" borderId="1" xfId="0" applyFont="1" applyBorder="1" applyAlignment="1">
      <alignment horizontal="left" vertical="center" wrapText="1"/>
    </xf>
    <xf numFmtId="0" fontId="0" fillId="0" borderId="1" xfId="0" applyBorder="1" applyAlignment="1">
      <alignment horizontal="left" vertical="top" wrapText="1"/>
    </xf>
    <xf numFmtId="0" fontId="18" fillId="0" borderId="1" xfId="0" applyFont="1" applyBorder="1" applyAlignment="1">
      <alignment vertical="center" wrapText="1"/>
    </xf>
    <xf numFmtId="3" fontId="18" fillId="0" borderId="1" xfId="0" applyNumberFormat="1" applyFont="1" applyBorder="1" applyAlignment="1">
      <alignment horizontal="right" vertical="center" wrapText="1"/>
    </xf>
    <xf numFmtId="0" fontId="12" fillId="0" borderId="1" xfId="0" applyFont="1" applyFill="1" applyBorder="1" applyAlignment="1">
      <alignment horizontal="center" vertical="center" wrapText="1"/>
    </xf>
    <xf numFmtId="166" fontId="8" fillId="0" borderId="1" xfId="0" applyNumberFormat="1" applyFont="1" applyFill="1" applyBorder="1" applyAlignment="1">
      <alignment vertical="center" wrapText="1"/>
    </xf>
    <xf numFmtId="17" fontId="4" fillId="0" borderId="1" xfId="0" applyNumberFormat="1" applyFont="1" applyFill="1" applyBorder="1" applyAlignment="1">
      <alignment vertical="center" wrapText="1"/>
    </xf>
    <xf numFmtId="9" fontId="4" fillId="0" borderId="1" xfId="3" applyFont="1" applyFill="1" applyBorder="1" applyAlignment="1">
      <alignment vertical="center" wrapText="1"/>
    </xf>
    <xf numFmtId="16" fontId="4" fillId="0" borderId="1" xfId="0" applyNumberFormat="1" applyFont="1" applyFill="1" applyBorder="1" applyAlignment="1">
      <alignment vertical="center" wrapText="1"/>
    </xf>
    <xf numFmtId="0" fontId="3" fillId="0" borderId="0" xfId="0" applyFont="1" applyFill="1" applyAlignment="1">
      <alignment horizontal="center"/>
    </xf>
    <xf numFmtId="3" fontId="4" fillId="0" borderId="1" xfId="0" applyNumberFormat="1" applyFont="1" applyFill="1" applyBorder="1" applyAlignment="1">
      <alignment horizontal="right" vertical="center" wrapText="1"/>
    </xf>
    <xf numFmtId="0" fontId="3" fillId="0" borderId="1" xfId="0" applyFont="1" applyFill="1" applyBorder="1" applyAlignment="1">
      <alignment horizontal="center" vertical="center"/>
    </xf>
    <xf numFmtId="0" fontId="5"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9" fontId="3" fillId="0" borderId="1" xfId="3" applyFont="1" applyFill="1" applyBorder="1" applyAlignment="1">
      <alignment horizontal="center" vertical="center" wrapText="1"/>
    </xf>
    <xf numFmtId="0" fontId="11" fillId="0" borderId="1" xfId="0" applyFont="1" applyFill="1" applyBorder="1" applyAlignment="1">
      <alignment horizontal="center" vertical="center" textRotation="90" wrapText="1"/>
    </xf>
    <xf numFmtId="0" fontId="4" fillId="0" borderId="1" xfId="0" applyFont="1" applyFill="1" applyBorder="1" applyAlignment="1">
      <alignment horizontal="left" vertical="center"/>
    </xf>
    <xf numFmtId="0" fontId="3" fillId="0" borderId="1" xfId="0" applyFont="1" applyFill="1" applyBorder="1" applyAlignment="1">
      <alignment horizontal="center" vertical="center" textRotation="90" wrapText="1"/>
    </xf>
    <xf numFmtId="0" fontId="7" fillId="0" borderId="1" xfId="0" applyFont="1" applyFill="1" applyBorder="1" applyAlignment="1">
      <alignment horizontal="left" vertical="center" textRotation="180" wrapText="1"/>
    </xf>
    <xf numFmtId="0" fontId="12" fillId="0" borderId="1" xfId="0" applyFont="1" applyFill="1" applyBorder="1" applyAlignment="1">
      <alignment horizontal="left" vertical="center" textRotation="180" wrapText="1"/>
    </xf>
    <xf numFmtId="0" fontId="7" fillId="0" borderId="1" xfId="0" applyFont="1" applyFill="1" applyBorder="1" applyAlignment="1">
      <alignment horizontal="left" vertical="center" wrapText="1"/>
    </xf>
    <xf numFmtId="169" fontId="8" fillId="0" borderId="1" xfId="1" applyNumberFormat="1" applyFont="1" applyFill="1" applyBorder="1" applyAlignment="1">
      <alignment horizontal="right" vertical="center" wrapText="1"/>
    </xf>
    <xf numFmtId="169" fontId="4" fillId="0" borderId="1" xfId="1" applyNumberFormat="1" applyFont="1" applyFill="1" applyBorder="1" applyAlignment="1">
      <alignment horizontal="right" vertical="center" wrapText="1"/>
    </xf>
    <xf numFmtId="0" fontId="9" fillId="0" borderId="1" xfId="0" applyFont="1" applyFill="1" applyBorder="1" applyAlignment="1">
      <alignment horizontal="center" vertical="center" textRotation="90"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left" wrapText="1"/>
    </xf>
    <xf numFmtId="0" fontId="12" fillId="0" borderId="1" xfId="0" applyFont="1" applyFill="1" applyBorder="1" applyAlignment="1">
      <alignment horizontal="center" vertical="center" textRotation="90" wrapText="1"/>
    </xf>
    <xf numFmtId="166" fontId="8" fillId="0" borderId="1" xfId="0" applyNumberFormat="1" applyFont="1" applyFill="1" applyBorder="1" applyAlignment="1">
      <alignment horizontal="left" vertical="center" wrapText="1"/>
    </xf>
    <xf numFmtId="0" fontId="4" fillId="0" borderId="1" xfId="0" applyFont="1" applyFill="1" applyBorder="1" applyAlignment="1">
      <alignment horizontal="center" vertical="center" textRotation="90" wrapText="1"/>
    </xf>
    <xf numFmtId="0" fontId="11" fillId="0" borderId="1" xfId="0" applyFont="1" applyFill="1" applyBorder="1" applyAlignment="1">
      <alignment horizontal="center" vertical="center" textRotation="90"/>
    </xf>
    <xf numFmtId="3" fontId="4" fillId="0" borderId="1" xfId="2" applyNumberFormat="1" applyFont="1" applyFill="1" applyBorder="1" applyAlignment="1">
      <alignment horizontal="right" vertical="center" wrapText="1"/>
    </xf>
    <xf numFmtId="0" fontId="4" fillId="0" borderId="1" xfId="0" applyFont="1" applyFill="1" applyBorder="1" applyAlignment="1">
      <alignment vertical="center" wrapText="1"/>
    </xf>
    <xf numFmtId="0" fontId="4" fillId="0" borderId="1" xfId="0" applyFont="1" applyFill="1" applyBorder="1" applyAlignment="1">
      <alignment horizontal="center" vertical="center" wrapText="1"/>
    </xf>
    <xf numFmtId="0" fontId="14" fillId="0" borderId="1" xfId="0" applyFont="1" applyFill="1" applyBorder="1" applyAlignment="1">
      <alignment vertical="center" wrapText="1"/>
    </xf>
    <xf numFmtId="0" fontId="16" fillId="0" borderId="1" xfId="0" applyFont="1" applyBorder="1" applyAlignment="1">
      <alignment horizontal="center" vertical="center" textRotation="90" wrapText="1"/>
    </xf>
    <xf numFmtId="0" fontId="16" fillId="0" borderId="1" xfId="0" applyFont="1" applyBorder="1" applyAlignment="1">
      <alignment horizontal="center" vertical="center" wrapText="1"/>
    </xf>
    <xf numFmtId="0" fontId="13" fillId="0" borderId="1" xfId="0" applyFont="1" applyFill="1" applyBorder="1" applyAlignment="1">
      <alignment horizontal="center" vertical="center" textRotation="90"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5" xfId="0" applyFont="1" applyFill="1" applyBorder="1" applyAlignment="1">
      <alignment horizontal="center" vertical="center" wrapText="1"/>
    </xf>
  </cellXfs>
  <cellStyles count="5">
    <cellStyle name="Milliers" xfId="1" builtinId="3"/>
    <cellStyle name="Milliers [0]" xfId="2" builtinId="6"/>
    <cellStyle name="Milliers 2" xfId="4"/>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Q176"/>
  <sheetViews>
    <sheetView tabSelected="1" zoomScale="90" zoomScaleNormal="90" workbookViewId="0">
      <pane ySplit="4" topLeftCell="A5" activePane="bottomLeft" state="frozen"/>
      <selection pane="bottomLeft" activeCell="C173" sqref="C173:C176"/>
    </sheetView>
  </sheetViews>
  <sheetFormatPr baseColWidth="10" defaultColWidth="10.81640625" defaultRowHeight="15.5" x14ac:dyDescent="0.35"/>
  <cols>
    <col min="1" max="1" width="14.36328125" style="4" customWidth="1"/>
    <col min="2" max="2" width="13.81640625" style="4" customWidth="1"/>
    <col min="3" max="3" width="45.6328125" style="5" customWidth="1"/>
    <col min="4" max="4" width="50.6328125" style="4" customWidth="1"/>
    <col min="5" max="5" width="27" style="7" customWidth="1"/>
    <col min="6" max="7" width="10.81640625" style="4" customWidth="1"/>
    <col min="8" max="8" width="23.81640625" style="6" customWidth="1"/>
    <col min="9" max="9" width="19" style="7" customWidth="1"/>
    <col min="10" max="10" width="15.1796875" style="7" customWidth="1"/>
    <col min="11" max="11" width="19" style="7" customWidth="1"/>
    <col min="12" max="12" width="19" style="4" customWidth="1"/>
    <col min="13" max="16" width="20.36328125" style="6" bestFit="1" customWidth="1"/>
    <col min="17" max="17" width="11" style="4" bestFit="1" customWidth="1"/>
    <col min="18" max="16384" width="10.81640625" style="4"/>
  </cols>
  <sheetData>
    <row r="1" spans="1:16" x14ac:dyDescent="0.35">
      <c r="A1" s="89" t="s">
        <v>71</v>
      </c>
      <c r="B1" s="89"/>
      <c r="C1" s="89"/>
      <c r="D1" s="89"/>
      <c r="E1" s="89"/>
      <c r="F1" s="89"/>
      <c r="G1" s="89"/>
      <c r="H1" s="89"/>
      <c r="I1" s="89"/>
      <c r="J1" s="89"/>
      <c r="K1" s="89"/>
      <c r="L1" s="89"/>
      <c r="M1" s="89"/>
      <c r="N1" s="89"/>
      <c r="O1" s="89"/>
      <c r="P1" s="89"/>
    </row>
    <row r="3" spans="1:16" x14ac:dyDescent="0.35">
      <c r="A3" s="91" t="s">
        <v>3</v>
      </c>
      <c r="B3" s="91" t="s">
        <v>0</v>
      </c>
      <c r="C3" s="91" t="s">
        <v>1</v>
      </c>
      <c r="D3" s="93" t="s">
        <v>2</v>
      </c>
      <c r="E3" s="91" t="s">
        <v>4</v>
      </c>
      <c r="F3" s="91"/>
      <c r="G3" s="91"/>
      <c r="H3" s="93" t="s">
        <v>34</v>
      </c>
      <c r="I3" s="8" t="s">
        <v>72</v>
      </c>
      <c r="J3" s="94" t="s">
        <v>73</v>
      </c>
      <c r="K3" s="94"/>
      <c r="L3" s="8" t="s">
        <v>76</v>
      </c>
      <c r="M3" s="91" t="s">
        <v>33</v>
      </c>
      <c r="N3" s="91"/>
      <c r="O3" s="91"/>
      <c r="P3" s="91"/>
    </row>
    <row r="4" spans="1:16" x14ac:dyDescent="0.35">
      <c r="A4" s="91"/>
      <c r="B4" s="91"/>
      <c r="C4" s="91"/>
      <c r="D4" s="93"/>
      <c r="E4" s="67" t="s">
        <v>5</v>
      </c>
      <c r="F4" s="9" t="s">
        <v>6</v>
      </c>
      <c r="G4" s="9" t="s">
        <v>7</v>
      </c>
      <c r="H4" s="93"/>
      <c r="I4" s="8"/>
      <c r="J4" s="10" t="s">
        <v>74</v>
      </c>
      <c r="K4" s="10" t="s">
        <v>75</v>
      </c>
      <c r="L4" s="8"/>
      <c r="M4" s="56" t="s">
        <v>29</v>
      </c>
      <c r="N4" s="56" t="s">
        <v>30</v>
      </c>
      <c r="O4" s="56" t="s">
        <v>31</v>
      </c>
      <c r="P4" s="56" t="s">
        <v>32</v>
      </c>
    </row>
    <row r="5" spans="1:16" s="14" customFormat="1" ht="46.5" x14ac:dyDescent="0.35">
      <c r="A5" s="97" t="s">
        <v>18</v>
      </c>
      <c r="B5" s="95" t="s">
        <v>19</v>
      </c>
      <c r="C5" s="92" t="s">
        <v>8</v>
      </c>
      <c r="D5" s="11" t="s">
        <v>9</v>
      </c>
      <c r="E5" s="68" t="s">
        <v>20</v>
      </c>
      <c r="F5" s="12"/>
      <c r="G5" s="11"/>
      <c r="H5" s="90">
        <v>27396932737</v>
      </c>
      <c r="I5" s="13"/>
      <c r="J5" s="13"/>
      <c r="K5" s="13"/>
      <c r="L5" s="13"/>
      <c r="M5" s="90">
        <v>3160000000</v>
      </c>
      <c r="N5" s="90">
        <v>4561000000</v>
      </c>
      <c r="O5" s="90">
        <v>7625500000</v>
      </c>
      <c r="P5" s="90">
        <v>12050432000</v>
      </c>
    </row>
    <row r="6" spans="1:16" ht="62" x14ac:dyDescent="0.35">
      <c r="A6" s="97"/>
      <c r="B6" s="95"/>
      <c r="C6" s="92"/>
      <c r="D6" s="11" t="s">
        <v>16</v>
      </c>
      <c r="E6" s="68" t="s">
        <v>21</v>
      </c>
      <c r="F6" s="15"/>
      <c r="G6" s="16"/>
      <c r="H6" s="90"/>
      <c r="I6" s="13"/>
      <c r="J6" s="13"/>
      <c r="K6" s="13"/>
      <c r="L6" s="13"/>
      <c r="M6" s="90"/>
      <c r="N6" s="90"/>
      <c r="O6" s="90"/>
      <c r="P6" s="90"/>
    </row>
    <row r="7" spans="1:16" ht="61" customHeight="1" x14ac:dyDescent="0.35">
      <c r="A7" s="97"/>
      <c r="B7" s="95"/>
      <c r="C7" s="92"/>
      <c r="D7" s="11" t="s">
        <v>14</v>
      </c>
      <c r="E7" s="68" t="s">
        <v>25</v>
      </c>
      <c r="F7" s="15"/>
      <c r="G7" s="16"/>
      <c r="H7" s="90"/>
      <c r="I7" s="13"/>
      <c r="J7" s="13"/>
      <c r="K7" s="13"/>
      <c r="L7" s="13"/>
      <c r="M7" s="90"/>
      <c r="N7" s="90"/>
      <c r="O7" s="90"/>
      <c r="P7" s="90"/>
    </row>
    <row r="8" spans="1:16" ht="62" x14ac:dyDescent="0.35">
      <c r="A8" s="97"/>
      <c r="B8" s="95"/>
      <c r="C8" s="92"/>
      <c r="D8" s="11" t="s">
        <v>17</v>
      </c>
      <c r="E8" s="68" t="s">
        <v>26</v>
      </c>
      <c r="F8" s="15"/>
      <c r="G8" s="16"/>
      <c r="H8" s="90"/>
      <c r="I8" s="13"/>
      <c r="J8" s="13"/>
      <c r="K8" s="13"/>
      <c r="L8" s="13"/>
      <c r="M8" s="90"/>
      <c r="N8" s="90"/>
      <c r="O8" s="90"/>
      <c r="P8" s="90"/>
    </row>
    <row r="9" spans="1:16" ht="31" x14ac:dyDescent="0.35">
      <c r="A9" s="97"/>
      <c r="B9" s="95"/>
      <c r="C9" s="92"/>
      <c r="D9" s="11" t="s">
        <v>10</v>
      </c>
      <c r="E9" s="68" t="s">
        <v>27</v>
      </c>
      <c r="F9" s="15"/>
      <c r="G9" s="16"/>
      <c r="H9" s="90"/>
      <c r="I9" s="13"/>
      <c r="J9" s="13"/>
      <c r="K9" s="13"/>
      <c r="L9" s="13"/>
      <c r="M9" s="90"/>
      <c r="N9" s="90"/>
      <c r="O9" s="90"/>
      <c r="P9" s="90"/>
    </row>
    <row r="10" spans="1:16" ht="31" x14ac:dyDescent="0.35">
      <c r="A10" s="97"/>
      <c r="B10" s="95"/>
      <c r="C10" s="92"/>
      <c r="D10" s="11" t="s">
        <v>12</v>
      </c>
      <c r="E10" s="68" t="s">
        <v>22</v>
      </c>
      <c r="F10" s="15"/>
      <c r="G10" s="16"/>
      <c r="H10" s="90"/>
      <c r="I10" s="13"/>
      <c r="J10" s="13"/>
      <c r="K10" s="13"/>
      <c r="L10" s="13"/>
      <c r="M10" s="90"/>
      <c r="N10" s="90"/>
      <c r="O10" s="90"/>
      <c r="P10" s="90"/>
    </row>
    <row r="11" spans="1:16" ht="31" x14ac:dyDescent="0.35">
      <c r="A11" s="97"/>
      <c r="B11" s="95"/>
      <c r="C11" s="92"/>
      <c r="D11" s="11" t="s">
        <v>13</v>
      </c>
      <c r="E11" s="68" t="s">
        <v>23</v>
      </c>
      <c r="F11" s="15"/>
      <c r="G11" s="16"/>
      <c r="H11" s="90"/>
      <c r="I11" s="13"/>
      <c r="J11" s="13"/>
      <c r="K11" s="13"/>
      <c r="L11" s="13"/>
      <c r="M11" s="90"/>
      <c r="N11" s="90"/>
      <c r="O11" s="90"/>
      <c r="P11" s="90"/>
    </row>
    <row r="12" spans="1:16" ht="31" x14ac:dyDescent="0.35">
      <c r="A12" s="97"/>
      <c r="B12" s="95"/>
      <c r="C12" s="92"/>
      <c r="D12" s="11" t="s">
        <v>11</v>
      </c>
      <c r="E12" s="68" t="s">
        <v>24</v>
      </c>
      <c r="F12" s="15"/>
      <c r="G12" s="16"/>
      <c r="H12" s="90"/>
      <c r="I12" s="13"/>
      <c r="J12" s="13"/>
      <c r="K12" s="13"/>
      <c r="L12" s="13"/>
      <c r="M12" s="90"/>
      <c r="N12" s="90"/>
      <c r="O12" s="90"/>
      <c r="P12" s="90"/>
    </row>
    <row r="13" spans="1:16" ht="62" x14ac:dyDescent="0.35">
      <c r="A13" s="97"/>
      <c r="B13" s="95"/>
      <c r="C13" s="17" t="s">
        <v>277</v>
      </c>
      <c r="D13" s="18" t="s">
        <v>15</v>
      </c>
      <c r="E13" s="68" t="s">
        <v>28</v>
      </c>
      <c r="F13" s="15"/>
      <c r="G13" s="16"/>
      <c r="H13" s="19">
        <v>1115126900</v>
      </c>
      <c r="I13" s="20"/>
      <c r="J13" s="20"/>
      <c r="K13" s="20"/>
      <c r="L13" s="20"/>
      <c r="M13" s="19"/>
      <c r="N13" s="19">
        <v>1115126900</v>
      </c>
      <c r="O13" s="19"/>
      <c r="P13" s="19"/>
    </row>
    <row r="14" spans="1:16" ht="62" x14ac:dyDescent="0.35">
      <c r="A14" s="97"/>
      <c r="B14" s="95"/>
      <c r="C14" s="96" t="s">
        <v>170</v>
      </c>
      <c r="D14" s="21" t="s">
        <v>171</v>
      </c>
      <c r="E14" s="69" t="s">
        <v>175</v>
      </c>
      <c r="F14" s="22"/>
      <c r="G14" s="22"/>
      <c r="H14" s="23" t="s">
        <v>172</v>
      </c>
      <c r="I14" s="24"/>
      <c r="J14" s="24"/>
      <c r="K14" s="24"/>
      <c r="L14" s="22"/>
      <c r="M14" s="25" t="s">
        <v>181</v>
      </c>
      <c r="N14" s="25" t="s">
        <v>181</v>
      </c>
      <c r="O14" s="25" t="s">
        <v>181</v>
      </c>
      <c r="P14" s="25" t="s">
        <v>182</v>
      </c>
    </row>
    <row r="15" spans="1:16" ht="31" x14ac:dyDescent="0.35">
      <c r="A15" s="97"/>
      <c r="B15" s="95"/>
      <c r="C15" s="96"/>
      <c r="D15" s="21" t="s">
        <v>173</v>
      </c>
      <c r="E15" s="69" t="s">
        <v>176</v>
      </c>
      <c r="F15" s="22"/>
      <c r="G15" s="22"/>
      <c r="H15" s="23" t="s">
        <v>174</v>
      </c>
      <c r="I15" s="24"/>
      <c r="J15" s="24"/>
      <c r="K15" s="24"/>
      <c r="L15" s="22"/>
      <c r="M15" s="25" t="s">
        <v>177</v>
      </c>
      <c r="N15" s="25" t="s">
        <v>178</v>
      </c>
      <c r="O15" s="25" t="s">
        <v>179</v>
      </c>
      <c r="P15" s="25" t="s">
        <v>180</v>
      </c>
    </row>
    <row r="16" spans="1:16" ht="31" x14ac:dyDescent="0.35">
      <c r="A16" s="98" t="s">
        <v>18</v>
      </c>
      <c r="B16" s="99" t="s">
        <v>19</v>
      </c>
      <c r="C16" s="100" t="s">
        <v>214</v>
      </c>
      <c r="D16" s="26" t="s">
        <v>215</v>
      </c>
      <c r="E16" s="27" t="s">
        <v>216</v>
      </c>
      <c r="F16" s="26"/>
      <c r="G16" s="26"/>
      <c r="H16" s="2">
        <v>2048400000</v>
      </c>
      <c r="I16" s="27" t="s">
        <v>275</v>
      </c>
      <c r="J16" s="28">
        <v>0</v>
      </c>
      <c r="K16" s="28">
        <v>0</v>
      </c>
      <c r="L16" s="29"/>
      <c r="M16" s="30">
        <f>0.2*H16</f>
        <v>409680000</v>
      </c>
      <c r="N16" s="30">
        <f>0.15*H16</f>
        <v>307260000</v>
      </c>
      <c r="O16" s="30">
        <f>0.4*H16</f>
        <v>819360000</v>
      </c>
      <c r="P16" s="30">
        <f>0.25*H16</f>
        <v>512100000</v>
      </c>
    </row>
    <row r="17" spans="1:16" ht="31" x14ac:dyDescent="0.35">
      <c r="A17" s="98"/>
      <c r="B17" s="99"/>
      <c r="C17" s="100"/>
      <c r="D17" s="26" t="s">
        <v>217</v>
      </c>
      <c r="E17" s="27" t="s">
        <v>218</v>
      </c>
      <c r="F17" s="26"/>
      <c r="G17" s="26"/>
      <c r="H17" s="2">
        <v>3744400000</v>
      </c>
      <c r="I17" s="27" t="s">
        <v>275</v>
      </c>
      <c r="J17" s="28">
        <v>0</v>
      </c>
      <c r="K17" s="28">
        <v>0</v>
      </c>
      <c r="L17" s="29"/>
      <c r="M17" s="30">
        <f t="shared" ref="M17:M46" si="0">0.2*H17</f>
        <v>748880000</v>
      </c>
      <c r="N17" s="30">
        <f t="shared" ref="N17:N46" si="1">0.15*H17</f>
        <v>561660000</v>
      </c>
      <c r="O17" s="30">
        <f t="shared" ref="O17:O46" si="2">0.4*H17</f>
        <v>1497760000</v>
      </c>
      <c r="P17" s="30">
        <f t="shared" ref="P17:P46" si="3">0.25*H17</f>
        <v>936100000</v>
      </c>
    </row>
    <row r="18" spans="1:16" ht="31" x14ac:dyDescent="0.35">
      <c r="A18" s="98"/>
      <c r="B18" s="99"/>
      <c r="C18" s="100"/>
      <c r="D18" s="26" t="s">
        <v>219</v>
      </c>
      <c r="E18" s="27" t="s">
        <v>220</v>
      </c>
      <c r="F18" s="26"/>
      <c r="G18" s="26"/>
      <c r="H18" s="2">
        <v>1987900000</v>
      </c>
      <c r="I18" s="27" t="s">
        <v>275</v>
      </c>
      <c r="J18" s="28">
        <v>0</v>
      </c>
      <c r="K18" s="28">
        <v>0</v>
      </c>
      <c r="L18" s="29"/>
      <c r="M18" s="30">
        <f t="shared" si="0"/>
        <v>397580000</v>
      </c>
      <c r="N18" s="30">
        <f t="shared" si="1"/>
        <v>298185000</v>
      </c>
      <c r="O18" s="30">
        <f t="shared" si="2"/>
        <v>795160000</v>
      </c>
      <c r="P18" s="30">
        <f t="shared" si="3"/>
        <v>496975000</v>
      </c>
    </row>
    <row r="19" spans="1:16" ht="31" x14ac:dyDescent="0.35">
      <c r="A19" s="98"/>
      <c r="B19" s="99"/>
      <c r="C19" s="100"/>
      <c r="D19" s="26" t="s">
        <v>221</v>
      </c>
      <c r="E19" s="27" t="s">
        <v>222</v>
      </c>
      <c r="F19" s="26"/>
      <c r="G19" s="26"/>
      <c r="H19" s="2">
        <v>120000000</v>
      </c>
      <c r="I19" s="27" t="s">
        <v>275</v>
      </c>
      <c r="J19" s="28">
        <v>0</v>
      </c>
      <c r="K19" s="28">
        <v>0</v>
      </c>
      <c r="L19" s="29"/>
      <c r="M19" s="30">
        <f t="shared" si="0"/>
        <v>24000000</v>
      </c>
      <c r="N19" s="30">
        <f t="shared" si="1"/>
        <v>18000000</v>
      </c>
      <c r="O19" s="30">
        <f t="shared" si="2"/>
        <v>48000000</v>
      </c>
      <c r="P19" s="30">
        <f t="shared" si="3"/>
        <v>30000000</v>
      </c>
    </row>
    <row r="20" spans="1:16" ht="31" x14ac:dyDescent="0.35">
      <c r="A20" s="98"/>
      <c r="B20" s="99"/>
      <c r="C20" s="100"/>
      <c r="D20" s="26" t="s">
        <v>223</v>
      </c>
      <c r="E20" s="27" t="s">
        <v>224</v>
      </c>
      <c r="F20" s="26"/>
      <c r="G20" s="26"/>
      <c r="H20" s="2">
        <v>9000000</v>
      </c>
      <c r="I20" s="27" t="s">
        <v>275</v>
      </c>
      <c r="J20" s="28">
        <v>0</v>
      </c>
      <c r="K20" s="28">
        <v>0</v>
      </c>
      <c r="L20" s="29"/>
      <c r="M20" s="30">
        <f t="shared" si="0"/>
        <v>1800000</v>
      </c>
      <c r="N20" s="30">
        <f t="shared" si="1"/>
        <v>1350000</v>
      </c>
      <c r="O20" s="30">
        <f t="shared" si="2"/>
        <v>3600000</v>
      </c>
      <c r="P20" s="30">
        <f t="shared" si="3"/>
        <v>2250000</v>
      </c>
    </row>
    <row r="21" spans="1:16" ht="46.5" x14ac:dyDescent="0.35">
      <c r="A21" s="98"/>
      <c r="B21" s="99"/>
      <c r="C21" s="100"/>
      <c r="D21" s="26" t="s">
        <v>225</v>
      </c>
      <c r="E21" s="27" t="s">
        <v>226</v>
      </c>
      <c r="F21" s="26"/>
      <c r="G21" s="26"/>
      <c r="H21" s="2">
        <v>379200000</v>
      </c>
      <c r="I21" s="27" t="s">
        <v>275</v>
      </c>
      <c r="J21" s="28">
        <v>0</v>
      </c>
      <c r="K21" s="28">
        <v>0</v>
      </c>
      <c r="L21" s="29"/>
      <c r="M21" s="30">
        <f t="shared" si="0"/>
        <v>75840000</v>
      </c>
      <c r="N21" s="30">
        <f t="shared" si="1"/>
        <v>56880000</v>
      </c>
      <c r="O21" s="30">
        <f t="shared" si="2"/>
        <v>151680000</v>
      </c>
      <c r="P21" s="30">
        <f t="shared" si="3"/>
        <v>94800000</v>
      </c>
    </row>
    <row r="22" spans="1:16" ht="31" x14ac:dyDescent="0.35">
      <c r="A22" s="98"/>
      <c r="B22" s="99"/>
      <c r="C22" s="100"/>
      <c r="D22" s="26" t="s">
        <v>227</v>
      </c>
      <c r="E22" s="27" t="s">
        <v>228</v>
      </c>
      <c r="F22" s="26"/>
      <c r="G22" s="26"/>
      <c r="H22" s="2">
        <v>23800000</v>
      </c>
      <c r="I22" s="27" t="s">
        <v>275</v>
      </c>
      <c r="J22" s="28">
        <v>0</v>
      </c>
      <c r="K22" s="28">
        <v>0</v>
      </c>
      <c r="L22" s="29"/>
      <c r="M22" s="30">
        <f t="shared" si="0"/>
        <v>4760000</v>
      </c>
      <c r="N22" s="30">
        <f t="shared" si="1"/>
        <v>3570000</v>
      </c>
      <c r="O22" s="30">
        <f t="shared" si="2"/>
        <v>9520000</v>
      </c>
      <c r="P22" s="30">
        <f t="shared" si="3"/>
        <v>5950000</v>
      </c>
    </row>
    <row r="23" spans="1:16" ht="31" x14ac:dyDescent="0.35">
      <c r="A23" s="98"/>
      <c r="B23" s="99"/>
      <c r="C23" s="100"/>
      <c r="D23" s="26" t="s">
        <v>229</v>
      </c>
      <c r="E23" s="27" t="s">
        <v>230</v>
      </c>
      <c r="F23" s="26"/>
      <c r="G23" s="26"/>
      <c r="H23" s="2">
        <v>516992800</v>
      </c>
      <c r="I23" s="27" t="s">
        <v>275</v>
      </c>
      <c r="J23" s="28">
        <v>0</v>
      </c>
      <c r="K23" s="28">
        <v>0</v>
      </c>
      <c r="L23" s="29"/>
      <c r="M23" s="30">
        <f t="shared" si="0"/>
        <v>103398560</v>
      </c>
      <c r="N23" s="30">
        <f t="shared" si="1"/>
        <v>77548920</v>
      </c>
      <c r="O23" s="30">
        <f t="shared" si="2"/>
        <v>206797120</v>
      </c>
      <c r="P23" s="30">
        <f t="shared" si="3"/>
        <v>129248200</v>
      </c>
    </row>
    <row r="24" spans="1:16" ht="31" x14ac:dyDescent="0.35">
      <c r="A24" s="98"/>
      <c r="B24" s="99"/>
      <c r="C24" s="100" t="s">
        <v>231</v>
      </c>
      <c r="D24" s="26" t="s">
        <v>229</v>
      </c>
      <c r="E24" s="27" t="s">
        <v>232</v>
      </c>
      <c r="F24" s="26"/>
      <c r="G24" s="26"/>
      <c r="H24" s="2">
        <v>1247333223.6000001</v>
      </c>
      <c r="I24" s="27" t="s">
        <v>275</v>
      </c>
      <c r="J24" s="28">
        <v>0</v>
      </c>
      <c r="K24" s="28">
        <v>0</v>
      </c>
      <c r="L24" s="29"/>
      <c r="M24" s="30">
        <f t="shared" si="0"/>
        <v>249466644.72000003</v>
      </c>
      <c r="N24" s="30">
        <f t="shared" si="1"/>
        <v>187099983.54000002</v>
      </c>
      <c r="O24" s="30">
        <f t="shared" si="2"/>
        <v>498933289.44000006</v>
      </c>
      <c r="P24" s="30">
        <f t="shared" si="3"/>
        <v>311833305.90000004</v>
      </c>
    </row>
    <row r="25" spans="1:16" ht="31" x14ac:dyDescent="0.35">
      <c r="A25" s="98"/>
      <c r="B25" s="99"/>
      <c r="C25" s="100"/>
      <c r="D25" s="26" t="s">
        <v>233</v>
      </c>
      <c r="E25" s="27" t="s">
        <v>234</v>
      </c>
      <c r="F25" s="26"/>
      <c r="G25" s="26"/>
      <c r="H25" s="101">
        <v>730175584</v>
      </c>
      <c r="I25" s="27" t="s">
        <v>275</v>
      </c>
      <c r="J25" s="28">
        <v>0</v>
      </c>
      <c r="K25" s="28">
        <v>0</v>
      </c>
      <c r="L25" s="29"/>
      <c r="M25" s="30">
        <f t="shared" si="0"/>
        <v>146035116.80000001</v>
      </c>
      <c r="N25" s="30">
        <f t="shared" si="1"/>
        <v>109526337.59999999</v>
      </c>
      <c r="O25" s="30">
        <f t="shared" si="2"/>
        <v>292070233.60000002</v>
      </c>
      <c r="P25" s="30">
        <f t="shared" si="3"/>
        <v>182543896</v>
      </c>
    </row>
    <row r="26" spans="1:16" ht="31" x14ac:dyDescent="0.35">
      <c r="A26" s="98"/>
      <c r="B26" s="99"/>
      <c r="C26" s="100"/>
      <c r="D26" s="26" t="s">
        <v>235</v>
      </c>
      <c r="E26" s="27" t="s">
        <v>236</v>
      </c>
      <c r="F26" s="26"/>
      <c r="G26" s="26"/>
      <c r="H26" s="101"/>
      <c r="I26" s="27" t="s">
        <v>275</v>
      </c>
      <c r="J26" s="28">
        <v>0</v>
      </c>
      <c r="K26" s="28">
        <v>0</v>
      </c>
      <c r="L26" s="29"/>
      <c r="M26" s="30">
        <f t="shared" si="0"/>
        <v>0</v>
      </c>
      <c r="N26" s="30">
        <f t="shared" si="1"/>
        <v>0</v>
      </c>
      <c r="O26" s="30">
        <f t="shared" si="2"/>
        <v>0</v>
      </c>
      <c r="P26" s="30">
        <f t="shared" si="3"/>
        <v>0</v>
      </c>
    </row>
    <row r="27" spans="1:16" ht="31" x14ac:dyDescent="0.35">
      <c r="A27" s="98"/>
      <c r="B27" s="99"/>
      <c r="C27" s="100"/>
      <c r="D27" s="26" t="s">
        <v>217</v>
      </c>
      <c r="E27" s="27" t="s">
        <v>237</v>
      </c>
      <c r="F27" s="26"/>
      <c r="G27" s="26"/>
      <c r="H27" s="102">
        <v>700347531</v>
      </c>
      <c r="I27" s="27" t="s">
        <v>275</v>
      </c>
      <c r="J27" s="28">
        <v>0</v>
      </c>
      <c r="K27" s="28">
        <v>0</v>
      </c>
      <c r="L27" s="29"/>
      <c r="M27" s="30">
        <f t="shared" si="0"/>
        <v>140069506.20000002</v>
      </c>
      <c r="N27" s="30">
        <f t="shared" si="1"/>
        <v>105052129.64999999</v>
      </c>
      <c r="O27" s="30">
        <f t="shared" si="2"/>
        <v>280139012.40000004</v>
      </c>
      <c r="P27" s="30">
        <f t="shared" si="3"/>
        <v>175086882.75</v>
      </c>
    </row>
    <row r="28" spans="1:16" ht="31" x14ac:dyDescent="0.35">
      <c r="A28" s="98"/>
      <c r="B28" s="99"/>
      <c r="C28" s="100"/>
      <c r="D28" s="26" t="s">
        <v>219</v>
      </c>
      <c r="E28" s="27" t="s">
        <v>238</v>
      </c>
      <c r="F28" s="26"/>
      <c r="G28" s="26"/>
      <c r="H28" s="102"/>
      <c r="I28" s="27" t="s">
        <v>275</v>
      </c>
      <c r="J28" s="28">
        <v>0</v>
      </c>
      <c r="K28" s="28">
        <v>0</v>
      </c>
      <c r="L28" s="29"/>
      <c r="M28" s="30">
        <f t="shared" si="0"/>
        <v>0</v>
      </c>
      <c r="N28" s="30">
        <f t="shared" si="1"/>
        <v>0</v>
      </c>
      <c r="O28" s="30">
        <f t="shared" si="2"/>
        <v>0</v>
      </c>
      <c r="P28" s="30">
        <f t="shared" si="3"/>
        <v>0</v>
      </c>
    </row>
    <row r="29" spans="1:16" ht="31" x14ac:dyDescent="0.35">
      <c r="A29" s="98"/>
      <c r="B29" s="99"/>
      <c r="C29" s="100"/>
      <c r="D29" s="26" t="s">
        <v>219</v>
      </c>
      <c r="E29" s="27" t="s">
        <v>239</v>
      </c>
      <c r="F29" s="26"/>
      <c r="G29" s="26"/>
      <c r="H29" s="2">
        <v>600000000</v>
      </c>
      <c r="I29" s="27" t="s">
        <v>275</v>
      </c>
      <c r="J29" s="28">
        <v>0</v>
      </c>
      <c r="K29" s="28">
        <v>0</v>
      </c>
      <c r="L29" s="29"/>
      <c r="M29" s="30">
        <f t="shared" si="0"/>
        <v>120000000</v>
      </c>
      <c r="N29" s="30">
        <f t="shared" si="1"/>
        <v>90000000</v>
      </c>
      <c r="O29" s="30">
        <f t="shared" si="2"/>
        <v>240000000</v>
      </c>
      <c r="P29" s="30">
        <f t="shared" si="3"/>
        <v>150000000</v>
      </c>
    </row>
    <row r="30" spans="1:16" ht="31" x14ac:dyDescent="0.35">
      <c r="A30" s="98"/>
      <c r="B30" s="99"/>
      <c r="C30" s="100"/>
      <c r="D30" s="26" t="s">
        <v>240</v>
      </c>
      <c r="E30" s="27" t="s">
        <v>241</v>
      </c>
      <c r="F30" s="26"/>
      <c r="G30" s="26"/>
      <c r="H30" s="2">
        <v>500000000</v>
      </c>
      <c r="I30" s="27" t="s">
        <v>275</v>
      </c>
      <c r="J30" s="28">
        <v>0</v>
      </c>
      <c r="K30" s="28">
        <v>0</v>
      </c>
      <c r="L30" s="29"/>
      <c r="M30" s="30">
        <f t="shared" si="0"/>
        <v>100000000</v>
      </c>
      <c r="N30" s="30">
        <f t="shared" si="1"/>
        <v>75000000</v>
      </c>
      <c r="O30" s="30">
        <f t="shared" si="2"/>
        <v>200000000</v>
      </c>
      <c r="P30" s="30">
        <f t="shared" si="3"/>
        <v>125000000</v>
      </c>
    </row>
    <row r="31" spans="1:16" ht="31" x14ac:dyDescent="0.35">
      <c r="A31" s="98"/>
      <c r="B31" s="99"/>
      <c r="C31" s="100" t="s">
        <v>242</v>
      </c>
      <c r="D31" s="26" t="s">
        <v>243</v>
      </c>
      <c r="E31" s="27" t="s">
        <v>244</v>
      </c>
      <c r="F31" s="26"/>
      <c r="G31" s="26"/>
      <c r="H31" s="2">
        <v>139290541</v>
      </c>
      <c r="I31" s="27" t="s">
        <v>275</v>
      </c>
      <c r="J31" s="28">
        <v>0</v>
      </c>
      <c r="K31" s="28">
        <v>0</v>
      </c>
      <c r="L31" s="29"/>
      <c r="M31" s="30">
        <f t="shared" si="0"/>
        <v>27858108.200000003</v>
      </c>
      <c r="N31" s="30">
        <f t="shared" si="1"/>
        <v>20893581.149999999</v>
      </c>
      <c r="O31" s="30">
        <f t="shared" si="2"/>
        <v>55716216.400000006</v>
      </c>
      <c r="P31" s="30">
        <f t="shared" si="3"/>
        <v>34822635.25</v>
      </c>
    </row>
    <row r="32" spans="1:16" x14ac:dyDescent="0.35">
      <c r="A32" s="98"/>
      <c r="B32" s="99"/>
      <c r="C32" s="100"/>
      <c r="D32" s="26" t="s">
        <v>233</v>
      </c>
      <c r="E32" s="27" t="s">
        <v>245</v>
      </c>
      <c r="F32" s="26"/>
      <c r="G32" s="26"/>
      <c r="H32" s="2">
        <v>44366867</v>
      </c>
      <c r="I32" s="27" t="s">
        <v>275</v>
      </c>
      <c r="J32" s="28">
        <v>0</v>
      </c>
      <c r="K32" s="28">
        <v>0</v>
      </c>
      <c r="L32" s="29"/>
      <c r="M32" s="30">
        <f t="shared" si="0"/>
        <v>8873373.4000000004</v>
      </c>
      <c r="N32" s="30">
        <f t="shared" si="1"/>
        <v>6655030.0499999998</v>
      </c>
      <c r="O32" s="30">
        <f t="shared" si="2"/>
        <v>17746746.800000001</v>
      </c>
      <c r="P32" s="30">
        <f t="shared" si="3"/>
        <v>11091716.75</v>
      </c>
    </row>
    <row r="33" spans="1:16" x14ac:dyDescent="0.35">
      <c r="A33" s="98"/>
      <c r="B33" s="99"/>
      <c r="C33" s="100"/>
      <c r="D33" s="26" t="s">
        <v>235</v>
      </c>
      <c r="E33" s="27" t="s">
        <v>246</v>
      </c>
      <c r="F33" s="26"/>
      <c r="G33" s="26"/>
      <c r="H33" s="2">
        <f>110000000-(110000000*20%)</f>
        <v>88000000</v>
      </c>
      <c r="I33" s="27" t="s">
        <v>275</v>
      </c>
      <c r="J33" s="28">
        <v>0</v>
      </c>
      <c r="K33" s="28">
        <v>0</v>
      </c>
      <c r="L33" s="29"/>
      <c r="M33" s="30">
        <f t="shared" si="0"/>
        <v>17600000</v>
      </c>
      <c r="N33" s="30">
        <f t="shared" si="1"/>
        <v>13200000</v>
      </c>
      <c r="O33" s="30">
        <f t="shared" si="2"/>
        <v>35200000</v>
      </c>
      <c r="P33" s="30">
        <f t="shared" si="3"/>
        <v>22000000</v>
      </c>
    </row>
    <row r="34" spans="1:16" ht="31" x14ac:dyDescent="0.35">
      <c r="A34" s="98"/>
      <c r="B34" s="99"/>
      <c r="C34" s="100"/>
      <c r="D34" s="26" t="s">
        <v>247</v>
      </c>
      <c r="E34" s="27" t="s">
        <v>248</v>
      </c>
      <c r="F34" s="26"/>
      <c r="G34" s="26"/>
      <c r="H34" s="2">
        <v>1313856412</v>
      </c>
      <c r="I34" s="27" t="s">
        <v>275</v>
      </c>
      <c r="J34" s="28">
        <v>0</v>
      </c>
      <c r="K34" s="28">
        <v>0</v>
      </c>
      <c r="L34" s="29"/>
      <c r="M34" s="30">
        <f t="shared" si="0"/>
        <v>262771282.40000001</v>
      </c>
      <c r="N34" s="30">
        <f t="shared" si="1"/>
        <v>197078461.79999998</v>
      </c>
      <c r="O34" s="30">
        <f t="shared" si="2"/>
        <v>525542564.80000001</v>
      </c>
      <c r="P34" s="30">
        <f t="shared" si="3"/>
        <v>328464103</v>
      </c>
    </row>
    <row r="35" spans="1:16" ht="31" x14ac:dyDescent="0.35">
      <c r="A35" s="98"/>
      <c r="B35" s="99" t="s">
        <v>249</v>
      </c>
      <c r="C35" s="100" t="s">
        <v>214</v>
      </c>
      <c r="D35" s="26" t="s">
        <v>250</v>
      </c>
      <c r="E35" s="27" t="s">
        <v>251</v>
      </c>
      <c r="F35" s="26"/>
      <c r="G35" s="26"/>
      <c r="H35" s="2">
        <v>3264000000</v>
      </c>
      <c r="I35" s="27" t="s">
        <v>275</v>
      </c>
      <c r="J35" s="28">
        <v>0</v>
      </c>
      <c r="K35" s="28">
        <v>0</v>
      </c>
      <c r="L35" s="29"/>
      <c r="M35" s="30">
        <f t="shared" si="0"/>
        <v>652800000</v>
      </c>
      <c r="N35" s="30">
        <f t="shared" si="1"/>
        <v>489600000</v>
      </c>
      <c r="O35" s="30">
        <f t="shared" si="2"/>
        <v>1305600000</v>
      </c>
      <c r="P35" s="30">
        <f t="shared" si="3"/>
        <v>816000000</v>
      </c>
    </row>
    <row r="36" spans="1:16" ht="31" x14ac:dyDescent="0.35">
      <c r="A36" s="98"/>
      <c r="B36" s="99"/>
      <c r="C36" s="100"/>
      <c r="D36" s="26" t="s">
        <v>252</v>
      </c>
      <c r="E36" s="27" t="s">
        <v>253</v>
      </c>
      <c r="F36" s="26"/>
      <c r="G36" s="26"/>
      <c r="H36" s="2">
        <v>129307200</v>
      </c>
      <c r="I36" s="27" t="s">
        <v>275</v>
      </c>
      <c r="J36" s="28">
        <v>0</v>
      </c>
      <c r="K36" s="28">
        <v>0</v>
      </c>
      <c r="L36" s="29"/>
      <c r="M36" s="30">
        <f t="shared" si="0"/>
        <v>25861440</v>
      </c>
      <c r="N36" s="30">
        <f t="shared" si="1"/>
        <v>19396080</v>
      </c>
      <c r="O36" s="30">
        <f t="shared" si="2"/>
        <v>51722880</v>
      </c>
      <c r="P36" s="30">
        <f t="shared" si="3"/>
        <v>32326800</v>
      </c>
    </row>
    <row r="37" spans="1:16" ht="31" x14ac:dyDescent="0.35">
      <c r="A37" s="98"/>
      <c r="B37" s="99"/>
      <c r="C37" s="100"/>
      <c r="D37" s="26" t="s">
        <v>254</v>
      </c>
      <c r="E37" s="27" t="s">
        <v>255</v>
      </c>
      <c r="F37" s="26"/>
      <c r="G37" s="26"/>
      <c r="H37" s="2">
        <v>150000000</v>
      </c>
      <c r="I37" s="27" t="s">
        <v>275</v>
      </c>
      <c r="J37" s="28">
        <v>0</v>
      </c>
      <c r="K37" s="28">
        <v>0</v>
      </c>
      <c r="L37" s="29"/>
      <c r="M37" s="30">
        <f t="shared" si="0"/>
        <v>30000000</v>
      </c>
      <c r="N37" s="30">
        <f t="shared" si="1"/>
        <v>22500000</v>
      </c>
      <c r="O37" s="30">
        <f t="shared" si="2"/>
        <v>60000000</v>
      </c>
      <c r="P37" s="30">
        <f t="shared" si="3"/>
        <v>37500000</v>
      </c>
    </row>
    <row r="38" spans="1:16" ht="62" x14ac:dyDescent="0.35">
      <c r="A38" s="98"/>
      <c r="B38" s="99"/>
      <c r="C38" s="29" t="s">
        <v>231</v>
      </c>
      <c r="D38" s="26" t="s">
        <v>256</v>
      </c>
      <c r="E38" s="27" t="s">
        <v>257</v>
      </c>
      <c r="F38" s="26"/>
      <c r="G38" s="26"/>
      <c r="H38" s="2">
        <v>37000000</v>
      </c>
      <c r="I38" s="27" t="s">
        <v>275</v>
      </c>
      <c r="J38" s="28">
        <v>0</v>
      </c>
      <c r="K38" s="28">
        <v>0</v>
      </c>
      <c r="L38" s="29"/>
      <c r="M38" s="30"/>
      <c r="N38" s="30">
        <f t="shared" si="1"/>
        <v>5550000</v>
      </c>
      <c r="O38" s="30">
        <f t="shared" si="2"/>
        <v>14800000</v>
      </c>
      <c r="P38" s="30">
        <f t="shared" si="3"/>
        <v>9250000</v>
      </c>
    </row>
    <row r="39" spans="1:16" ht="46.5" x14ac:dyDescent="0.35">
      <c r="A39" s="98"/>
      <c r="B39" s="99"/>
      <c r="C39" s="100" t="s">
        <v>258</v>
      </c>
      <c r="D39" s="26" t="s">
        <v>259</v>
      </c>
      <c r="E39" s="27" t="s">
        <v>260</v>
      </c>
      <c r="F39" s="26"/>
      <c r="G39" s="26"/>
      <c r="H39" s="2">
        <v>5000000000</v>
      </c>
      <c r="I39" s="27" t="s">
        <v>275</v>
      </c>
      <c r="J39" s="28">
        <v>0</v>
      </c>
      <c r="K39" s="28">
        <v>0</v>
      </c>
      <c r="L39" s="29"/>
      <c r="M39" s="30">
        <f t="shared" si="0"/>
        <v>1000000000</v>
      </c>
      <c r="N39" s="30">
        <f t="shared" si="1"/>
        <v>750000000</v>
      </c>
      <c r="O39" s="30">
        <f t="shared" si="2"/>
        <v>2000000000</v>
      </c>
      <c r="P39" s="30">
        <f t="shared" si="3"/>
        <v>1250000000</v>
      </c>
    </row>
    <row r="40" spans="1:16" ht="31" x14ac:dyDescent="0.35">
      <c r="A40" s="98"/>
      <c r="B40" s="99"/>
      <c r="C40" s="100"/>
      <c r="D40" s="26" t="s">
        <v>261</v>
      </c>
      <c r="E40" s="27" t="s">
        <v>262</v>
      </c>
      <c r="F40" s="26"/>
      <c r="G40" s="26"/>
      <c r="H40" s="2">
        <v>1500000000</v>
      </c>
      <c r="I40" s="27" t="s">
        <v>275</v>
      </c>
      <c r="J40" s="28">
        <v>0</v>
      </c>
      <c r="K40" s="28">
        <v>0</v>
      </c>
      <c r="L40" s="29"/>
      <c r="M40" s="30">
        <f t="shared" si="0"/>
        <v>300000000</v>
      </c>
      <c r="N40" s="30">
        <f t="shared" si="1"/>
        <v>225000000</v>
      </c>
      <c r="O40" s="30">
        <f t="shared" si="2"/>
        <v>600000000</v>
      </c>
      <c r="P40" s="30">
        <f t="shared" si="3"/>
        <v>375000000</v>
      </c>
    </row>
    <row r="41" spans="1:16" ht="31" x14ac:dyDescent="0.35">
      <c r="A41" s="98"/>
      <c r="B41" s="99"/>
      <c r="C41" s="100"/>
      <c r="D41" s="26" t="s">
        <v>263</v>
      </c>
      <c r="E41" s="27" t="s">
        <v>264</v>
      </c>
      <c r="F41" s="26"/>
      <c r="G41" s="26"/>
      <c r="H41" s="2">
        <v>1350000000</v>
      </c>
      <c r="I41" s="27" t="s">
        <v>275</v>
      </c>
      <c r="J41" s="28">
        <v>0</v>
      </c>
      <c r="K41" s="28">
        <v>0</v>
      </c>
      <c r="L41" s="29"/>
      <c r="M41" s="30">
        <f t="shared" si="0"/>
        <v>270000000</v>
      </c>
      <c r="N41" s="30">
        <f t="shared" si="1"/>
        <v>202500000</v>
      </c>
      <c r="O41" s="30">
        <f t="shared" si="2"/>
        <v>540000000</v>
      </c>
      <c r="P41" s="30">
        <f t="shared" si="3"/>
        <v>337500000</v>
      </c>
    </row>
    <row r="42" spans="1:16" ht="31" x14ac:dyDescent="0.35">
      <c r="A42" s="98"/>
      <c r="B42" s="99"/>
      <c r="C42" s="100"/>
      <c r="D42" s="26" t="s">
        <v>265</v>
      </c>
      <c r="E42" s="27" t="s">
        <v>266</v>
      </c>
      <c r="F42" s="26"/>
      <c r="G42" s="26"/>
      <c r="H42" s="2">
        <v>800000000</v>
      </c>
      <c r="I42" s="27" t="s">
        <v>275</v>
      </c>
      <c r="J42" s="28">
        <v>0</v>
      </c>
      <c r="K42" s="28">
        <v>0</v>
      </c>
      <c r="L42" s="29"/>
      <c r="M42" s="30">
        <f t="shared" si="0"/>
        <v>160000000</v>
      </c>
      <c r="N42" s="30">
        <f t="shared" si="1"/>
        <v>120000000</v>
      </c>
      <c r="O42" s="30">
        <f t="shared" si="2"/>
        <v>320000000</v>
      </c>
      <c r="P42" s="30">
        <f t="shared" si="3"/>
        <v>200000000</v>
      </c>
    </row>
    <row r="43" spans="1:16" ht="46.5" x14ac:dyDescent="0.35">
      <c r="A43" s="98"/>
      <c r="B43" s="99"/>
      <c r="C43" s="100"/>
      <c r="D43" s="26" t="s">
        <v>267</v>
      </c>
      <c r="E43" s="27" t="s">
        <v>268</v>
      </c>
      <c r="F43" s="26"/>
      <c r="G43" s="26"/>
      <c r="H43" s="2">
        <v>360000000</v>
      </c>
      <c r="I43" s="27" t="s">
        <v>275</v>
      </c>
      <c r="J43" s="28">
        <v>0</v>
      </c>
      <c r="K43" s="28">
        <v>0</v>
      </c>
      <c r="L43" s="29"/>
      <c r="M43" s="30">
        <f t="shared" si="0"/>
        <v>72000000</v>
      </c>
      <c r="N43" s="30">
        <f t="shared" si="1"/>
        <v>54000000</v>
      </c>
      <c r="O43" s="30">
        <f t="shared" si="2"/>
        <v>144000000</v>
      </c>
      <c r="P43" s="30">
        <f t="shared" si="3"/>
        <v>90000000</v>
      </c>
    </row>
    <row r="44" spans="1:16" ht="46.5" x14ac:dyDescent="0.35">
      <c r="A44" s="98"/>
      <c r="B44" s="99"/>
      <c r="C44" s="100"/>
      <c r="D44" s="26" t="s">
        <v>269</v>
      </c>
      <c r="E44" s="27" t="s">
        <v>270</v>
      </c>
      <c r="F44" s="26"/>
      <c r="G44" s="26"/>
      <c r="H44" s="2">
        <v>990000000</v>
      </c>
      <c r="I44" s="27" t="s">
        <v>275</v>
      </c>
      <c r="J44" s="28">
        <v>0</v>
      </c>
      <c r="K44" s="28">
        <v>0</v>
      </c>
      <c r="L44" s="29"/>
      <c r="M44" s="30">
        <f t="shared" si="0"/>
        <v>198000000</v>
      </c>
      <c r="N44" s="30">
        <f t="shared" si="1"/>
        <v>148500000</v>
      </c>
      <c r="O44" s="30">
        <f t="shared" si="2"/>
        <v>396000000</v>
      </c>
      <c r="P44" s="30">
        <f t="shared" si="3"/>
        <v>247500000</v>
      </c>
    </row>
    <row r="45" spans="1:16" ht="31" x14ac:dyDescent="0.35">
      <c r="A45" s="98"/>
      <c r="B45" s="99"/>
      <c r="C45" s="100" t="s">
        <v>242</v>
      </c>
      <c r="D45" s="26" t="s">
        <v>271</v>
      </c>
      <c r="E45" s="27" t="s">
        <v>272</v>
      </c>
      <c r="F45" s="26"/>
      <c r="G45" s="26"/>
      <c r="H45" s="2">
        <f>171305308-42962716</f>
        <v>128342592</v>
      </c>
      <c r="I45" s="27" t="s">
        <v>275</v>
      </c>
      <c r="J45" s="28">
        <v>0</v>
      </c>
      <c r="K45" s="28">
        <v>0</v>
      </c>
      <c r="L45" s="29"/>
      <c r="M45" s="30">
        <f t="shared" si="0"/>
        <v>25668518.400000002</v>
      </c>
      <c r="N45" s="30">
        <f t="shared" si="1"/>
        <v>19251388.800000001</v>
      </c>
      <c r="O45" s="30">
        <f t="shared" si="2"/>
        <v>51337036.800000004</v>
      </c>
      <c r="P45" s="30">
        <f t="shared" si="3"/>
        <v>32085648</v>
      </c>
    </row>
    <row r="46" spans="1:16" ht="31" x14ac:dyDescent="0.35">
      <c r="A46" s="98"/>
      <c r="B46" s="99"/>
      <c r="C46" s="100"/>
      <c r="D46" s="26" t="s">
        <v>273</v>
      </c>
      <c r="E46" s="27" t="s">
        <v>274</v>
      </c>
      <c r="F46" s="26"/>
      <c r="G46" s="26"/>
      <c r="H46" s="2">
        <v>563268865</v>
      </c>
      <c r="I46" s="27" t="s">
        <v>275</v>
      </c>
      <c r="J46" s="28">
        <v>0</v>
      </c>
      <c r="K46" s="28">
        <v>0</v>
      </c>
      <c r="L46" s="29"/>
      <c r="M46" s="30">
        <f t="shared" si="0"/>
        <v>112653773</v>
      </c>
      <c r="N46" s="30">
        <f t="shared" si="1"/>
        <v>84490329.75</v>
      </c>
      <c r="O46" s="30">
        <f t="shared" si="2"/>
        <v>225307546</v>
      </c>
      <c r="P46" s="30">
        <f t="shared" si="3"/>
        <v>140817216.25</v>
      </c>
    </row>
    <row r="47" spans="1:16" ht="42.5" x14ac:dyDescent="0.35">
      <c r="A47" s="103" t="s">
        <v>276</v>
      </c>
      <c r="B47" s="84"/>
      <c r="C47" s="104" t="s">
        <v>212</v>
      </c>
      <c r="D47" s="31" t="s">
        <v>187</v>
      </c>
      <c r="E47" s="70">
        <v>600</v>
      </c>
      <c r="F47" s="32"/>
      <c r="G47" s="32"/>
      <c r="H47" s="65">
        <v>226000000</v>
      </c>
      <c r="I47" s="32" t="s">
        <v>183</v>
      </c>
      <c r="J47" s="32">
        <v>0</v>
      </c>
      <c r="K47" s="32"/>
      <c r="L47" s="32"/>
      <c r="M47" s="33"/>
      <c r="N47" s="3" t="s">
        <v>213</v>
      </c>
      <c r="O47" s="3">
        <v>94166667</v>
      </c>
      <c r="P47" s="3">
        <v>94166667</v>
      </c>
    </row>
    <row r="48" spans="1:16" ht="28.5" x14ac:dyDescent="0.35">
      <c r="A48" s="103"/>
      <c r="B48" s="84"/>
      <c r="C48" s="104"/>
      <c r="D48" s="31" t="s">
        <v>188</v>
      </c>
      <c r="E48" s="70">
        <v>430</v>
      </c>
      <c r="F48" s="32"/>
      <c r="G48" s="32"/>
      <c r="H48" s="65">
        <v>152650000</v>
      </c>
      <c r="I48" s="32" t="s">
        <v>183</v>
      </c>
      <c r="J48" s="32">
        <v>0</v>
      </c>
      <c r="K48" s="32"/>
      <c r="L48" s="32"/>
      <c r="M48" s="33"/>
      <c r="N48" s="3">
        <v>35500000</v>
      </c>
      <c r="O48" s="3">
        <v>71000000</v>
      </c>
      <c r="P48" s="3">
        <v>46150000</v>
      </c>
    </row>
    <row r="49" spans="1:16" ht="28.5" x14ac:dyDescent="0.35">
      <c r="A49" s="103"/>
      <c r="B49" s="84"/>
      <c r="C49" s="104"/>
      <c r="D49" s="31" t="s">
        <v>189</v>
      </c>
      <c r="E49" s="70">
        <v>15</v>
      </c>
      <c r="F49" s="32"/>
      <c r="G49" s="32"/>
      <c r="H49" s="65">
        <v>69000000</v>
      </c>
      <c r="I49" s="32" t="s">
        <v>183</v>
      </c>
      <c r="J49" s="32">
        <v>0</v>
      </c>
      <c r="K49" s="32"/>
      <c r="L49" s="32"/>
      <c r="M49" s="33"/>
      <c r="N49" s="3"/>
      <c r="O49" s="3">
        <v>59800000</v>
      </c>
      <c r="P49" s="3">
        <v>9200000</v>
      </c>
    </row>
    <row r="50" spans="1:16" ht="28.5" x14ac:dyDescent="0.35">
      <c r="A50" s="103"/>
      <c r="B50" s="84"/>
      <c r="C50" s="104"/>
      <c r="D50" s="31" t="s">
        <v>190</v>
      </c>
      <c r="E50" s="70">
        <v>65</v>
      </c>
      <c r="F50" s="32"/>
      <c r="G50" s="32"/>
      <c r="H50" s="65">
        <v>24050000</v>
      </c>
      <c r="I50" s="32" t="s">
        <v>185</v>
      </c>
      <c r="J50" s="32">
        <v>0</v>
      </c>
      <c r="K50" s="32"/>
      <c r="L50" s="32"/>
      <c r="M50" s="33"/>
      <c r="N50" s="3">
        <v>7400000</v>
      </c>
      <c r="O50" s="3">
        <v>16650000</v>
      </c>
      <c r="P50" s="33"/>
    </row>
    <row r="51" spans="1:16" ht="28.5" x14ac:dyDescent="0.35">
      <c r="A51" s="103"/>
      <c r="B51" s="84"/>
      <c r="C51" s="104"/>
      <c r="D51" s="31" t="s">
        <v>191</v>
      </c>
      <c r="E51" s="70">
        <v>10</v>
      </c>
      <c r="F51" s="32"/>
      <c r="G51" s="32"/>
      <c r="H51" s="65">
        <v>46000000</v>
      </c>
      <c r="I51" s="32" t="s">
        <v>185</v>
      </c>
      <c r="J51" s="32">
        <v>0</v>
      </c>
      <c r="K51" s="32"/>
      <c r="L51" s="32"/>
      <c r="M51" s="33"/>
      <c r="N51" s="3">
        <v>13800000</v>
      </c>
      <c r="O51" s="3">
        <v>32200000</v>
      </c>
      <c r="P51" s="33"/>
    </row>
    <row r="52" spans="1:16" ht="28.5" x14ac:dyDescent="0.35">
      <c r="A52" s="103"/>
      <c r="B52" s="84"/>
      <c r="C52" s="104"/>
      <c r="D52" s="31" t="s">
        <v>192</v>
      </c>
      <c r="E52" s="70">
        <v>48</v>
      </c>
      <c r="F52" s="32"/>
      <c r="G52" s="32"/>
      <c r="H52" s="65">
        <v>66080000</v>
      </c>
      <c r="I52" s="32" t="s">
        <v>185</v>
      </c>
      <c r="J52" s="32">
        <v>76</v>
      </c>
      <c r="K52" s="32"/>
      <c r="L52" s="32"/>
      <c r="M52" s="33"/>
      <c r="N52" s="3">
        <v>10325000</v>
      </c>
      <c r="O52" s="3">
        <v>14455000</v>
      </c>
      <c r="P52" s="33"/>
    </row>
    <row r="53" spans="1:16" ht="28.5" x14ac:dyDescent="0.35">
      <c r="A53" s="103"/>
      <c r="B53" s="84"/>
      <c r="C53" s="104"/>
      <c r="D53" s="31" t="s">
        <v>193</v>
      </c>
      <c r="E53" s="70">
        <v>111</v>
      </c>
      <c r="F53" s="32"/>
      <c r="G53" s="32"/>
      <c r="H53" s="65">
        <f>52430836</f>
        <v>52430836</v>
      </c>
      <c r="I53" s="32" t="s">
        <v>186</v>
      </c>
      <c r="J53" s="32">
        <v>45</v>
      </c>
      <c r="K53" s="32"/>
      <c r="L53" s="32"/>
      <c r="M53" s="3">
        <v>24089844</v>
      </c>
      <c r="N53" s="3">
        <v>28340992</v>
      </c>
      <c r="O53" s="33"/>
      <c r="P53" s="33"/>
    </row>
    <row r="54" spans="1:16" ht="28.5" x14ac:dyDescent="0.35">
      <c r="A54" s="103"/>
      <c r="B54" s="84"/>
      <c r="C54" s="104"/>
      <c r="D54" s="31" t="s">
        <v>194</v>
      </c>
      <c r="E54" s="70">
        <v>200</v>
      </c>
      <c r="F54" s="32"/>
      <c r="G54" s="32"/>
      <c r="H54" s="65">
        <v>24453320</v>
      </c>
      <c r="I54" s="32" t="s">
        <v>186</v>
      </c>
      <c r="J54" s="32">
        <v>50</v>
      </c>
      <c r="K54" s="32"/>
      <c r="L54" s="32"/>
      <c r="M54" s="3">
        <v>12226660</v>
      </c>
      <c r="N54" s="3">
        <v>12226660</v>
      </c>
      <c r="O54" s="33"/>
      <c r="P54" s="33"/>
    </row>
    <row r="55" spans="1:16" ht="28.5" x14ac:dyDescent="0.35">
      <c r="A55" s="103"/>
      <c r="B55" s="84"/>
      <c r="C55" s="104"/>
      <c r="D55" s="31" t="s">
        <v>195</v>
      </c>
      <c r="E55" s="70">
        <v>1</v>
      </c>
      <c r="F55" s="32"/>
      <c r="G55" s="32"/>
      <c r="H55" s="65">
        <v>24824970</v>
      </c>
      <c r="I55" s="32" t="s">
        <v>184</v>
      </c>
      <c r="J55" s="32">
        <v>80</v>
      </c>
      <c r="K55" s="32"/>
      <c r="L55" s="32"/>
      <c r="M55" s="3">
        <v>4890664</v>
      </c>
      <c r="N55" s="33"/>
      <c r="O55" s="33"/>
      <c r="P55" s="33"/>
    </row>
    <row r="56" spans="1:16" ht="28.5" x14ac:dyDescent="0.35">
      <c r="A56" s="103"/>
      <c r="B56" s="84"/>
      <c r="C56" s="104"/>
      <c r="D56" s="31" t="s">
        <v>196</v>
      </c>
      <c r="E56" s="70">
        <v>3</v>
      </c>
      <c r="F56" s="32"/>
      <c r="G56" s="32"/>
      <c r="H56" s="65">
        <v>50000000</v>
      </c>
      <c r="I56" s="32" t="s">
        <v>183</v>
      </c>
      <c r="J56" s="32">
        <v>0</v>
      </c>
      <c r="K56" s="32"/>
      <c r="L56" s="32"/>
      <c r="M56" s="33"/>
      <c r="N56" s="3">
        <v>15000000</v>
      </c>
      <c r="O56" s="3">
        <v>20000000</v>
      </c>
      <c r="P56" s="3">
        <v>15000000</v>
      </c>
    </row>
    <row r="57" spans="1:16" ht="42.5" x14ac:dyDescent="0.35">
      <c r="A57" s="103"/>
      <c r="B57" s="84"/>
      <c r="C57" s="105" t="s">
        <v>206</v>
      </c>
      <c r="D57" s="31" t="s">
        <v>197</v>
      </c>
      <c r="E57" s="70">
        <v>2</v>
      </c>
      <c r="F57" s="32"/>
      <c r="G57" s="32"/>
      <c r="H57" s="65">
        <v>98822155</v>
      </c>
      <c r="I57" s="32" t="s">
        <v>185</v>
      </c>
      <c r="J57" s="32">
        <v>0</v>
      </c>
      <c r="K57" s="32"/>
      <c r="L57" s="32"/>
      <c r="M57" s="3">
        <v>49411075.5</v>
      </c>
      <c r="N57" s="3">
        <v>49411075.5</v>
      </c>
      <c r="O57" s="33"/>
      <c r="P57" s="33"/>
    </row>
    <row r="58" spans="1:16" ht="18" x14ac:dyDescent="0.35">
      <c r="A58" s="103"/>
      <c r="B58" s="84"/>
      <c r="C58" s="105"/>
      <c r="D58" s="31" t="s">
        <v>198</v>
      </c>
      <c r="E58" s="70">
        <v>1</v>
      </c>
      <c r="F58" s="32"/>
      <c r="G58" s="32"/>
      <c r="H58" s="65">
        <v>42000000</v>
      </c>
      <c r="I58" s="32" t="s">
        <v>183</v>
      </c>
      <c r="J58" s="32">
        <v>0</v>
      </c>
      <c r="K58" s="32"/>
      <c r="L58" s="32"/>
      <c r="M58" s="33"/>
      <c r="N58" s="33"/>
      <c r="O58" s="33"/>
      <c r="P58" s="3">
        <v>42000000</v>
      </c>
    </row>
    <row r="59" spans="1:16" ht="28.5" x14ac:dyDescent="0.35">
      <c r="A59" s="103"/>
      <c r="B59" s="84"/>
      <c r="C59" s="34" t="s">
        <v>207</v>
      </c>
      <c r="D59" s="31" t="s">
        <v>199</v>
      </c>
      <c r="E59" s="70">
        <v>9</v>
      </c>
      <c r="F59" s="32"/>
      <c r="G59" s="35"/>
      <c r="H59" s="65">
        <v>151973315</v>
      </c>
      <c r="I59" s="32" t="s">
        <v>186</v>
      </c>
      <c r="J59" s="32">
        <v>52</v>
      </c>
      <c r="K59" s="32"/>
      <c r="L59" s="32"/>
      <c r="M59" s="3">
        <v>28143206.5</v>
      </c>
      <c r="N59" s="3">
        <v>22514565.199999999</v>
      </c>
      <c r="O59" s="33"/>
      <c r="P59" s="33"/>
    </row>
    <row r="60" spans="1:16" ht="42" x14ac:dyDescent="0.35">
      <c r="A60" s="103"/>
      <c r="B60" s="106"/>
      <c r="C60" s="104" t="s">
        <v>209</v>
      </c>
      <c r="D60" s="36" t="s">
        <v>211</v>
      </c>
      <c r="E60" s="70">
        <v>1</v>
      </c>
      <c r="F60" s="32">
        <v>0</v>
      </c>
      <c r="G60" s="32"/>
      <c r="H60" s="65">
        <v>26792372</v>
      </c>
      <c r="I60" s="32" t="s">
        <v>205</v>
      </c>
      <c r="J60" s="32">
        <v>0</v>
      </c>
      <c r="K60" s="32"/>
      <c r="L60" s="32"/>
      <c r="M60" s="33">
        <f>50%*H60</f>
        <v>13396186</v>
      </c>
      <c r="N60" s="33">
        <f>M60</f>
        <v>13396186</v>
      </c>
      <c r="O60" s="33"/>
      <c r="P60" s="33"/>
    </row>
    <row r="61" spans="1:16" ht="28" x14ac:dyDescent="0.35">
      <c r="A61" s="103"/>
      <c r="B61" s="106"/>
      <c r="C61" s="104"/>
      <c r="D61" s="36" t="s">
        <v>210</v>
      </c>
      <c r="E61" s="70">
        <v>1</v>
      </c>
      <c r="F61" s="32">
        <v>0</v>
      </c>
      <c r="G61" s="32"/>
      <c r="H61" s="65">
        <v>25000000</v>
      </c>
      <c r="I61" s="32" t="s">
        <v>183</v>
      </c>
      <c r="J61" s="32">
        <v>0</v>
      </c>
      <c r="K61" s="32"/>
      <c r="L61" s="32"/>
      <c r="M61" s="33"/>
      <c r="N61" s="33"/>
      <c r="O61" s="33"/>
      <c r="P61" s="33"/>
    </row>
    <row r="62" spans="1:16" x14ac:dyDescent="0.35">
      <c r="A62" s="103"/>
      <c r="B62" s="106"/>
      <c r="C62" s="104" t="s">
        <v>208</v>
      </c>
      <c r="D62" s="31" t="s">
        <v>200</v>
      </c>
      <c r="E62" s="70"/>
      <c r="F62" s="32"/>
      <c r="G62" s="32"/>
      <c r="H62" s="65">
        <v>22000000</v>
      </c>
      <c r="I62" s="32" t="s">
        <v>185</v>
      </c>
      <c r="J62" s="32"/>
      <c r="K62" s="32"/>
      <c r="L62" s="32"/>
      <c r="M62" s="33"/>
      <c r="N62" s="33"/>
      <c r="O62" s="33">
        <f>+H62</f>
        <v>22000000</v>
      </c>
      <c r="P62" s="33"/>
    </row>
    <row r="63" spans="1:16" ht="28.5" x14ac:dyDescent="0.35">
      <c r="A63" s="103"/>
      <c r="B63" s="106"/>
      <c r="C63" s="104"/>
      <c r="D63" s="31" t="s">
        <v>201</v>
      </c>
      <c r="E63" s="70"/>
      <c r="F63" s="32"/>
      <c r="G63" s="32"/>
      <c r="H63" s="65">
        <v>20679204</v>
      </c>
      <c r="I63" s="32" t="s">
        <v>205</v>
      </c>
      <c r="J63" s="32"/>
      <c r="K63" s="32"/>
      <c r="L63" s="32"/>
      <c r="M63" s="33">
        <f>20%*H63</f>
        <v>4135840.8000000003</v>
      </c>
      <c r="N63" s="33">
        <f>70%*H63</f>
        <v>14475442.799999999</v>
      </c>
      <c r="O63" s="33"/>
      <c r="P63" s="33"/>
    </row>
    <row r="64" spans="1:16" ht="28.5" x14ac:dyDescent="0.35">
      <c r="A64" s="103"/>
      <c r="B64" s="106"/>
      <c r="C64" s="104"/>
      <c r="D64" s="31" t="s">
        <v>202</v>
      </c>
      <c r="E64" s="70"/>
      <c r="F64" s="32"/>
      <c r="G64" s="32"/>
      <c r="H64" s="65">
        <f>50%*24835629</f>
        <v>12417814.5</v>
      </c>
      <c r="I64" s="32" t="s">
        <v>205</v>
      </c>
      <c r="J64" s="32"/>
      <c r="K64" s="32"/>
      <c r="L64" s="32"/>
      <c r="M64" s="33">
        <f>30%*H64</f>
        <v>3725344.35</v>
      </c>
      <c r="N64" s="33">
        <f>20%*H64</f>
        <v>2483562.9</v>
      </c>
      <c r="O64" s="33"/>
      <c r="P64" s="33"/>
    </row>
    <row r="65" spans="1:16" ht="42.5" x14ac:dyDescent="0.35">
      <c r="A65" s="103"/>
      <c r="B65" s="106"/>
      <c r="C65" s="104"/>
      <c r="D65" s="31" t="s">
        <v>203</v>
      </c>
      <c r="E65" s="70"/>
      <c r="F65" s="32"/>
      <c r="G65" s="32"/>
      <c r="H65" s="65">
        <v>14616000</v>
      </c>
      <c r="I65" s="32" t="s">
        <v>205</v>
      </c>
      <c r="J65" s="32"/>
      <c r="K65" s="32"/>
      <c r="L65" s="32"/>
      <c r="M65" s="33">
        <f>50%*H65</f>
        <v>7308000</v>
      </c>
      <c r="N65" s="33">
        <f>50%*H65</f>
        <v>7308000</v>
      </c>
      <c r="O65" s="33"/>
      <c r="P65" s="33"/>
    </row>
    <row r="66" spans="1:16" ht="28.5" x14ac:dyDescent="0.35">
      <c r="A66" s="103"/>
      <c r="B66" s="106"/>
      <c r="C66" s="104"/>
      <c r="D66" s="31" t="s">
        <v>204</v>
      </c>
      <c r="E66" s="70"/>
      <c r="F66" s="32"/>
      <c r="G66" s="32"/>
      <c r="H66" s="65">
        <v>184000000</v>
      </c>
      <c r="I66" s="32" t="s">
        <v>205</v>
      </c>
      <c r="J66" s="32"/>
      <c r="K66" s="32"/>
      <c r="L66" s="32"/>
      <c r="M66" s="33">
        <f>70%*H66</f>
        <v>128799999.99999999</v>
      </c>
      <c r="N66" s="33">
        <f>30%*H66</f>
        <v>55200000</v>
      </c>
      <c r="O66" s="33"/>
      <c r="P66" s="33"/>
    </row>
    <row r="67" spans="1:16" ht="34" customHeight="1" x14ac:dyDescent="0.35">
      <c r="A67" s="97" t="s">
        <v>68</v>
      </c>
      <c r="B67" s="95" t="s">
        <v>69</v>
      </c>
      <c r="C67" s="107" t="s">
        <v>35</v>
      </c>
      <c r="D67" s="37" t="s">
        <v>48</v>
      </c>
      <c r="E67" s="71">
        <v>79074.84</v>
      </c>
      <c r="F67" s="38"/>
      <c r="G67" s="38"/>
      <c r="H67" s="57">
        <v>8250000000</v>
      </c>
      <c r="I67" s="40"/>
      <c r="J67" s="39"/>
      <c r="K67" s="39">
        <v>0.76045493261540709</v>
      </c>
      <c r="L67" s="39"/>
      <c r="M67" s="61">
        <f>H67*25%</f>
        <v>2062500000</v>
      </c>
      <c r="N67" s="61">
        <f>30%*H67</f>
        <v>2475000000</v>
      </c>
      <c r="O67" s="61">
        <f>15%*H67</f>
        <v>1237500000</v>
      </c>
      <c r="P67" s="61">
        <f>30%*H67</f>
        <v>2475000000</v>
      </c>
    </row>
    <row r="68" spans="1:16" x14ac:dyDescent="0.35">
      <c r="A68" s="97"/>
      <c r="B68" s="95"/>
      <c r="C68" s="107"/>
      <c r="D68" s="37" t="s">
        <v>49</v>
      </c>
      <c r="E68" s="71">
        <v>11571</v>
      </c>
      <c r="F68" s="38"/>
      <c r="G68" s="38"/>
      <c r="H68" s="57"/>
      <c r="I68" s="40"/>
      <c r="J68" s="39"/>
      <c r="K68" s="39"/>
      <c r="L68" s="39"/>
      <c r="M68" s="61"/>
      <c r="N68" s="61"/>
      <c r="O68" s="61"/>
      <c r="P68" s="61"/>
    </row>
    <row r="69" spans="1:16" x14ac:dyDescent="0.35">
      <c r="A69" s="97"/>
      <c r="B69" s="95"/>
      <c r="C69" s="107" t="s">
        <v>36</v>
      </c>
      <c r="D69" s="41" t="s">
        <v>47</v>
      </c>
      <c r="E69" s="71">
        <v>420.57</v>
      </c>
      <c r="F69" s="41"/>
      <c r="G69" s="41"/>
      <c r="H69" s="57"/>
      <c r="I69" s="39"/>
      <c r="J69" s="39"/>
      <c r="K69" s="39">
        <v>0.45246590120718178</v>
      </c>
      <c r="L69" s="39"/>
      <c r="M69" s="61"/>
      <c r="N69" s="61"/>
      <c r="O69" s="61"/>
      <c r="P69" s="61"/>
    </row>
    <row r="70" spans="1:16" x14ac:dyDescent="0.35">
      <c r="A70" s="97"/>
      <c r="B70" s="95"/>
      <c r="C70" s="107"/>
      <c r="D70" s="41" t="s">
        <v>49</v>
      </c>
      <c r="E70" s="71">
        <v>200</v>
      </c>
      <c r="F70" s="38"/>
      <c r="G70" s="38"/>
      <c r="H70" s="57"/>
      <c r="I70" s="39"/>
      <c r="J70" s="39"/>
      <c r="K70" s="39"/>
      <c r="L70" s="39"/>
      <c r="M70" s="61"/>
      <c r="N70" s="61"/>
      <c r="O70" s="61"/>
      <c r="P70" s="61"/>
    </row>
    <row r="71" spans="1:16" x14ac:dyDescent="0.35">
      <c r="A71" s="97"/>
      <c r="B71" s="95"/>
      <c r="C71" s="107"/>
      <c r="D71" s="41" t="s">
        <v>50</v>
      </c>
      <c r="E71" s="71">
        <v>2000</v>
      </c>
      <c r="F71" s="38"/>
      <c r="G71" s="38"/>
      <c r="H71" s="57"/>
      <c r="I71" s="39"/>
      <c r="J71" s="39"/>
      <c r="K71" s="39"/>
      <c r="L71" s="39"/>
      <c r="M71" s="61"/>
      <c r="N71" s="61"/>
      <c r="O71" s="61"/>
      <c r="P71" s="61"/>
    </row>
    <row r="72" spans="1:16" ht="31" x14ac:dyDescent="0.35">
      <c r="A72" s="97"/>
      <c r="B72" s="95"/>
      <c r="C72" s="107"/>
      <c r="D72" s="41" t="s">
        <v>51</v>
      </c>
      <c r="E72" s="71">
        <v>1082.08</v>
      </c>
      <c r="F72" s="38"/>
      <c r="G72" s="38"/>
      <c r="H72" s="57"/>
      <c r="I72" s="39"/>
      <c r="J72" s="39"/>
      <c r="K72" s="39"/>
      <c r="L72" s="39"/>
      <c r="M72" s="61"/>
      <c r="N72" s="61"/>
      <c r="O72" s="61"/>
      <c r="P72" s="61"/>
    </row>
    <row r="73" spans="1:16" ht="31" x14ac:dyDescent="0.35">
      <c r="A73" s="97"/>
      <c r="B73" s="95"/>
      <c r="C73" s="42" t="s">
        <v>37</v>
      </c>
      <c r="D73" s="41" t="s">
        <v>52</v>
      </c>
      <c r="E73" s="72">
        <v>1</v>
      </c>
      <c r="F73" s="38"/>
      <c r="G73" s="38"/>
      <c r="H73" s="57"/>
      <c r="I73" s="43"/>
      <c r="J73" s="43"/>
      <c r="K73" s="43">
        <v>0.2</v>
      </c>
      <c r="L73" s="43"/>
      <c r="M73" s="61">
        <v>1180000000</v>
      </c>
      <c r="N73" s="61"/>
      <c r="O73" s="61"/>
      <c r="P73" s="61"/>
    </row>
    <row r="74" spans="1:16" ht="31" x14ac:dyDescent="0.35">
      <c r="A74" s="97"/>
      <c r="B74" s="95"/>
      <c r="C74" s="107" t="s">
        <v>38</v>
      </c>
      <c r="D74" s="41" t="s">
        <v>54</v>
      </c>
      <c r="E74" s="71">
        <v>180</v>
      </c>
      <c r="F74" s="38"/>
      <c r="G74" s="38"/>
      <c r="H74" s="57">
        <v>8824918539</v>
      </c>
      <c r="I74" s="39"/>
      <c r="J74" s="39"/>
      <c r="K74" s="39">
        <v>0.12532510353658535</v>
      </c>
      <c r="L74" s="39"/>
      <c r="M74" s="61">
        <f>20%*H74</f>
        <v>1764983707.8000002</v>
      </c>
      <c r="N74" s="61">
        <f>30%*H74</f>
        <v>2647475561.6999998</v>
      </c>
      <c r="O74" s="61">
        <f>30%*H74</f>
        <v>2647475561.6999998</v>
      </c>
      <c r="P74" s="61">
        <f>20%*H74</f>
        <v>1764983707.8000002</v>
      </c>
    </row>
    <row r="75" spans="1:16" ht="31" x14ac:dyDescent="0.35">
      <c r="A75" s="97"/>
      <c r="B75" s="95"/>
      <c r="C75" s="107"/>
      <c r="D75" s="41" t="s">
        <v>53</v>
      </c>
      <c r="E75" s="71">
        <v>6000</v>
      </c>
      <c r="F75" s="38"/>
      <c r="G75" s="38"/>
      <c r="H75" s="57"/>
      <c r="I75" s="39"/>
      <c r="J75" s="39"/>
      <c r="K75" s="39"/>
      <c r="L75" s="39"/>
      <c r="M75" s="61"/>
      <c r="N75" s="61"/>
      <c r="O75" s="61"/>
      <c r="P75" s="61"/>
    </row>
    <row r="76" spans="1:16" ht="31" x14ac:dyDescent="0.35">
      <c r="A76" s="97"/>
      <c r="B76" s="95"/>
      <c r="C76" s="107" t="s">
        <v>42</v>
      </c>
      <c r="D76" s="41" t="s">
        <v>64</v>
      </c>
      <c r="E76" s="71">
        <v>20.399999999999999</v>
      </c>
      <c r="F76" s="38"/>
      <c r="G76" s="38"/>
      <c r="H76" s="57">
        <v>6056000000</v>
      </c>
      <c r="I76" s="39"/>
      <c r="J76" s="39"/>
      <c r="K76" s="39">
        <v>0</v>
      </c>
      <c r="L76" s="39"/>
      <c r="M76" s="61">
        <f>20%*E76</f>
        <v>4.08</v>
      </c>
      <c r="N76" s="61">
        <f>20%*G76</f>
        <v>0</v>
      </c>
      <c r="O76" s="61"/>
      <c r="P76" s="61"/>
    </row>
    <row r="77" spans="1:16" x14ac:dyDescent="0.35">
      <c r="A77" s="97"/>
      <c r="B77" s="95"/>
      <c r="C77" s="107"/>
      <c r="D77" s="41" t="s">
        <v>65</v>
      </c>
      <c r="E77" s="71">
        <v>600</v>
      </c>
      <c r="F77" s="38"/>
      <c r="G77" s="38"/>
      <c r="H77" s="57"/>
      <c r="I77" s="39"/>
      <c r="J77" s="39"/>
      <c r="K77" s="39"/>
      <c r="L77" s="39"/>
      <c r="M77" s="61"/>
      <c r="N77" s="61"/>
      <c r="O77" s="61"/>
      <c r="P77" s="61"/>
    </row>
    <row r="78" spans="1:16" ht="31" x14ac:dyDescent="0.35">
      <c r="A78" s="97"/>
      <c r="B78" s="95"/>
      <c r="C78" s="107"/>
      <c r="D78" s="41" t="s">
        <v>66</v>
      </c>
      <c r="E78" s="71">
        <v>300</v>
      </c>
      <c r="F78" s="38"/>
      <c r="G78" s="38"/>
      <c r="H78" s="57"/>
      <c r="I78" s="39"/>
      <c r="J78" s="39"/>
      <c r="K78" s="39"/>
      <c r="L78" s="39"/>
      <c r="M78" s="61"/>
      <c r="N78" s="61"/>
      <c r="O78" s="61"/>
      <c r="P78" s="61"/>
    </row>
    <row r="79" spans="1:16" ht="31" x14ac:dyDescent="0.35">
      <c r="A79" s="97"/>
      <c r="B79" s="95"/>
      <c r="C79" s="107" t="s">
        <v>43</v>
      </c>
      <c r="D79" s="41" t="s">
        <v>64</v>
      </c>
      <c r="E79" s="71">
        <v>12</v>
      </c>
      <c r="F79" s="38"/>
      <c r="G79" s="38"/>
      <c r="H79" s="57"/>
      <c r="I79" s="39"/>
      <c r="J79" s="39"/>
      <c r="K79" s="39">
        <v>0</v>
      </c>
      <c r="L79" s="39"/>
      <c r="M79" s="61">
        <f>20%*E79</f>
        <v>2.4000000000000004</v>
      </c>
      <c r="N79" s="61">
        <f>20%*G79</f>
        <v>0</v>
      </c>
      <c r="O79" s="61"/>
      <c r="P79" s="61"/>
    </row>
    <row r="80" spans="1:16" x14ac:dyDescent="0.35">
      <c r="A80" s="97"/>
      <c r="B80" s="95"/>
      <c r="C80" s="107"/>
      <c r="D80" s="41" t="s">
        <v>65</v>
      </c>
      <c r="E80" s="71">
        <v>1200</v>
      </c>
      <c r="F80" s="38"/>
      <c r="G80" s="38"/>
      <c r="H80" s="57"/>
      <c r="I80" s="39"/>
      <c r="J80" s="39"/>
      <c r="K80" s="39"/>
      <c r="L80" s="39"/>
      <c r="M80" s="61"/>
      <c r="N80" s="61"/>
      <c r="O80" s="61"/>
      <c r="P80" s="61"/>
    </row>
    <row r="81" spans="1:16" ht="31" x14ac:dyDescent="0.35">
      <c r="A81" s="97"/>
      <c r="B81" s="95"/>
      <c r="C81" s="107"/>
      <c r="D81" s="41" t="s">
        <v>66</v>
      </c>
      <c r="E81" s="71">
        <v>600</v>
      </c>
      <c r="F81" s="38"/>
      <c r="G81" s="38"/>
      <c r="H81" s="57"/>
      <c r="I81" s="39"/>
      <c r="J81" s="39"/>
      <c r="K81" s="39"/>
      <c r="L81" s="39"/>
      <c r="M81" s="61"/>
      <c r="N81" s="61"/>
      <c r="O81" s="61"/>
      <c r="P81" s="61"/>
    </row>
    <row r="82" spans="1:16" ht="31" x14ac:dyDescent="0.35">
      <c r="A82" s="97"/>
      <c r="B82" s="95"/>
      <c r="C82" s="107" t="s">
        <v>44</v>
      </c>
      <c r="D82" s="41" t="s">
        <v>64</v>
      </c>
      <c r="E82" s="71">
        <v>9</v>
      </c>
      <c r="F82" s="38"/>
      <c r="G82" s="38"/>
      <c r="H82" s="57"/>
      <c r="I82" s="39"/>
      <c r="J82" s="39"/>
      <c r="K82" s="39">
        <v>0</v>
      </c>
      <c r="L82" s="39"/>
      <c r="M82" s="61">
        <f>20%*E82</f>
        <v>1.8</v>
      </c>
      <c r="N82" s="61">
        <f>20%*G82</f>
        <v>0</v>
      </c>
      <c r="O82" s="61"/>
      <c r="P82" s="61"/>
    </row>
    <row r="83" spans="1:16" x14ac:dyDescent="0.35">
      <c r="A83" s="97"/>
      <c r="B83" s="95"/>
      <c r="C83" s="107"/>
      <c r="D83" s="41" t="s">
        <v>65</v>
      </c>
      <c r="E83" s="71">
        <v>900</v>
      </c>
      <c r="F83" s="38"/>
      <c r="G83" s="38"/>
      <c r="H83" s="57"/>
      <c r="I83" s="39"/>
      <c r="J83" s="39"/>
      <c r="K83" s="39"/>
      <c r="L83" s="39"/>
      <c r="M83" s="61"/>
      <c r="N83" s="61"/>
      <c r="O83" s="61"/>
      <c r="P83" s="61"/>
    </row>
    <row r="84" spans="1:16" ht="31" x14ac:dyDescent="0.35">
      <c r="A84" s="97"/>
      <c r="B84" s="95"/>
      <c r="C84" s="107"/>
      <c r="D84" s="41" t="s">
        <v>66</v>
      </c>
      <c r="E84" s="71">
        <v>390</v>
      </c>
      <c r="F84" s="38"/>
      <c r="G84" s="38"/>
      <c r="H84" s="57"/>
      <c r="I84" s="39"/>
      <c r="J84" s="39"/>
      <c r="K84" s="39"/>
      <c r="L84" s="39"/>
      <c r="M84" s="61"/>
      <c r="N84" s="61"/>
      <c r="O84" s="61"/>
      <c r="P84" s="61"/>
    </row>
    <row r="85" spans="1:16" ht="17" customHeight="1" x14ac:dyDescent="0.35">
      <c r="A85" s="97"/>
      <c r="B85" s="95"/>
      <c r="C85" s="107" t="s">
        <v>45</v>
      </c>
      <c r="D85" s="41" t="s">
        <v>67</v>
      </c>
      <c r="E85" s="71"/>
      <c r="F85" s="38"/>
      <c r="G85" s="38"/>
      <c r="H85" s="57">
        <v>10000000000</v>
      </c>
      <c r="I85" s="39"/>
      <c r="J85" s="39"/>
      <c r="K85" s="39">
        <v>0</v>
      </c>
      <c r="L85" s="39"/>
      <c r="M85" s="61">
        <v>85600000</v>
      </c>
      <c r="N85" s="30">
        <v>72400000</v>
      </c>
      <c r="O85" s="30">
        <v>389850000</v>
      </c>
      <c r="P85" s="30">
        <v>9311650000</v>
      </c>
    </row>
    <row r="86" spans="1:16" x14ac:dyDescent="0.35">
      <c r="A86" s="97"/>
      <c r="B86" s="95"/>
      <c r="C86" s="107"/>
      <c r="D86" s="41" t="s">
        <v>65</v>
      </c>
      <c r="E86" s="71"/>
      <c r="F86" s="38"/>
      <c r="G86" s="38"/>
      <c r="H86" s="57"/>
      <c r="I86" s="39"/>
      <c r="J86" s="39"/>
      <c r="K86" s="39"/>
      <c r="L86" s="39"/>
      <c r="M86" s="61"/>
      <c r="N86" s="30"/>
      <c r="O86" s="30"/>
      <c r="P86" s="30"/>
    </row>
    <row r="87" spans="1:16" x14ac:dyDescent="0.35">
      <c r="A87" s="97"/>
      <c r="B87" s="95"/>
      <c r="C87" s="107"/>
      <c r="D87" s="41" t="s">
        <v>55</v>
      </c>
      <c r="E87" s="71"/>
      <c r="F87" s="38"/>
      <c r="G87" s="38"/>
      <c r="H87" s="57"/>
      <c r="I87" s="39"/>
      <c r="J87" s="39"/>
      <c r="K87" s="39"/>
      <c r="L87" s="39"/>
      <c r="M87" s="61"/>
      <c r="N87" s="30"/>
      <c r="O87" s="30"/>
      <c r="P87" s="30"/>
    </row>
    <row r="88" spans="1:16" ht="31" x14ac:dyDescent="0.35">
      <c r="A88" s="97"/>
      <c r="B88" s="95"/>
      <c r="C88" s="107"/>
      <c r="D88" s="41" t="s">
        <v>66</v>
      </c>
      <c r="E88" s="71"/>
      <c r="F88" s="38"/>
      <c r="G88" s="38"/>
      <c r="H88" s="57"/>
      <c r="I88" s="39"/>
      <c r="J88" s="39"/>
      <c r="K88" s="39"/>
      <c r="L88" s="39"/>
      <c r="M88" s="61"/>
      <c r="N88" s="30"/>
      <c r="O88" s="30"/>
      <c r="P88" s="30"/>
    </row>
    <row r="89" spans="1:16" ht="17" customHeight="1" x14ac:dyDescent="0.35">
      <c r="A89" s="97"/>
      <c r="B89" s="95"/>
      <c r="C89" s="107" t="s">
        <v>46</v>
      </c>
      <c r="D89" s="41" t="s">
        <v>67</v>
      </c>
      <c r="E89" s="71"/>
      <c r="F89" s="38"/>
      <c r="G89" s="38"/>
      <c r="H89" s="57">
        <v>2506700000</v>
      </c>
      <c r="I89" s="39"/>
      <c r="J89" s="39"/>
      <c r="K89" s="39">
        <v>0</v>
      </c>
      <c r="L89" s="39"/>
      <c r="M89" s="61">
        <v>52500000</v>
      </c>
      <c r="N89" s="61">
        <v>52500000</v>
      </c>
      <c r="O89" s="61">
        <v>52500000</v>
      </c>
      <c r="P89" s="30">
        <v>2349200000</v>
      </c>
    </row>
    <row r="90" spans="1:16" x14ac:dyDescent="0.35">
      <c r="A90" s="97"/>
      <c r="B90" s="95"/>
      <c r="C90" s="107"/>
      <c r="D90" s="41" t="s">
        <v>65</v>
      </c>
      <c r="E90" s="71"/>
      <c r="F90" s="38"/>
      <c r="G90" s="38"/>
      <c r="H90" s="57"/>
      <c r="I90" s="39"/>
      <c r="J90" s="39"/>
      <c r="K90" s="39"/>
      <c r="L90" s="39"/>
      <c r="M90" s="61"/>
      <c r="N90" s="61"/>
      <c r="O90" s="61"/>
      <c r="P90" s="30"/>
    </row>
    <row r="91" spans="1:16" x14ac:dyDescent="0.35">
      <c r="A91" s="97"/>
      <c r="B91" s="95"/>
      <c r="C91" s="107"/>
      <c r="D91" s="41" t="s">
        <v>55</v>
      </c>
      <c r="E91" s="71"/>
      <c r="F91" s="38"/>
      <c r="G91" s="38"/>
      <c r="H91" s="57"/>
      <c r="I91" s="39"/>
      <c r="J91" s="39"/>
      <c r="K91" s="39"/>
      <c r="L91" s="39"/>
      <c r="M91" s="61"/>
      <c r="N91" s="61"/>
      <c r="O91" s="61"/>
      <c r="P91" s="30"/>
    </row>
    <row r="92" spans="1:16" ht="31" x14ac:dyDescent="0.35">
      <c r="A92" s="97"/>
      <c r="B92" s="95"/>
      <c r="C92" s="107"/>
      <c r="D92" s="41" t="s">
        <v>66</v>
      </c>
      <c r="E92" s="71"/>
      <c r="F92" s="38"/>
      <c r="G92" s="38"/>
      <c r="H92" s="57"/>
      <c r="I92" s="39"/>
      <c r="J92" s="39"/>
      <c r="K92" s="39"/>
      <c r="L92" s="39"/>
      <c r="M92" s="61"/>
      <c r="N92" s="61"/>
      <c r="O92" s="61"/>
      <c r="P92" s="30"/>
    </row>
    <row r="93" spans="1:16" ht="17" customHeight="1" x14ac:dyDescent="0.35">
      <c r="A93" s="97"/>
      <c r="B93" s="95" t="s">
        <v>70</v>
      </c>
      <c r="C93" s="107" t="s">
        <v>39</v>
      </c>
      <c r="D93" s="41" t="s">
        <v>47</v>
      </c>
      <c r="E93" s="71"/>
      <c r="F93" s="38"/>
      <c r="G93" s="38"/>
      <c r="H93" s="57">
        <v>6000000000</v>
      </c>
      <c r="I93" s="39"/>
      <c r="J93" s="39"/>
      <c r="K93" s="39">
        <v>0</v>
      </c>
      <c r="L93" s="39"/>
      <c r="M93" s="61">
        <f>H93*30%</f>
        <v>1800000000</v>
      </c>
      <c r="N93" s="61">
        <f>H93*30%</f>
        <v>1800000000</v>
      </c>
      <c r="O93" s="61">
        <f>H93*20%</f>
        <v>1200000000</v>
      </c>
      <c r="P93" s="61">
        <f>H93*20%</f>
        <v>1200000000</v>
      </c>
    </row>
    <row r="94" spans="1:16" ht="31" x14ac:dyDescent="0.35">
      <c r="A94" s="97"/>
      <c r="B94" s="109"/>
      <c r="C94" s="107"/>
      <c r="D94" s="41" t="s">
        <v>59</v>
      </c>
      <c r="E94" s="71"/>
      <c r="F94" s="38"/>
      <c r="G94" s="38"/>
      <c r="H94" s="57"/>
      <c r="I94" s="39"/>
      <c r="J94" s="39"/>
      <c r="K94" s="39"/>
      <c r="L94" s="39"/>
      <c r="M94" s="61"/>
      <c r="N94" s="61"/>
      <c r="O94" s="61"/>
      <c r="P94" s="61"/>
    </row>
    <row r="95" spans="1:16" x14ac:dyDescent="0.35">
      <c r="A95" s="97"/>
      <c r="B95" s="109"/>
      <c r="C95" s="107"/>
      <c r="D95" s="41" t="s">
        <v>55</v>
      </c>
      <c r="E95" s="71"/>
      <c r="F95" s="38"/>
      <c r="G95" s="38"/>
      <c r="H95" s="57"/>
      <c r="I95" s="39"/>
      <c r="J95" s="39"/>
      <c r="K95" s="39"/>
      <c r="L95" s="39"/>
      <c r="M95" s="61"/>
      <c r="N95" s="61"/>
      <c r="O95" s="61"/>
      <c r="P95" s="61"/>
    </row>
    <row r="96" spans="1:16" ht="31" x14ac:dyDescent="0.35">
      <c r="A96" s="97"/>
      <c r="B96" s="109"/>
      <c r="C96" s="107"/>
      <c r="D96" s="41" t="s">
        <v>56</v>
      </c>
      <c r="E96" s="71"/>
      <c r="F96" s="38"/>
      <c r="G96" s="38"/>
      <c r="H96" s="57"/>
      <c r="I96" s="39"/>
      <c r="J96" s="39"/>
      <c r="K96" s="39"/>
      <c r="L96" s="39"/>
      <c r="M96" s="61"/>
      <c r="N96" s="61"/>
      <c r="O96" s="61"/>
      <c r="P96" s="61"/>
    </row>
    <row r="97" spans="1:16" x14ac:dyDescent="0.35">
      <c r="A97" s="97"/>
      <c r="B97" s="109"/>
      <c r="C97" s="107"/>
      <c r="D97" s="41" t="s">
        <v>57</v>
      </c>
      <c r="E97" s="71">
        <v>16916</v>
      </c>
      <c r="F97" s="38"/>
      <c r="G97" s="38"/>
      <c r="H97" s="57"/>
      <c r="I97" s="39"/>
      <c r="J97" s="39"/>
      <c r="K97" s="39"/>
      <c r="L97" s="39"/>
      <c r="M97" s="61"/>
      <c r="N97" s="61"/>
      <c r="O97" s="61"/>
      <c r="P97" s="61"/>
    </row>
    <row r="98" spans="1:16" x14ac:dyDescent="0.35">
      <c r="A98" s="97"/>
      <c r="B98" s="109"/>
      <c r="C98" s="107" t="s">
        <v>40</v>
      </c>
      <c r="D98" s="41" t="s">
        <v>47</v>
      </c>
      <c r="E98" s="71"/>
      <c r="F98" s="38"/>
      <c r="G98" s="38"/>
      <c r="H98" s="57">
        <v>200000000</v>
      </c>
      <c r="I98" s="39"/>
      <c r="J98" s="39"/>
      <c r="K98" s="39">
        <v>0.2</v>
      </c>
      <c r="L98" s="39"/>
      <c r="M98" s="61">
        <v>50000000</v>
      </c>
      <c r="N98" s="61">
        <v>50000000</v>
      </c>
      <c r="O98" s="61">
        <v>50000000</v>
      </c>
      <c r="P98" s="61">
        <v>50000000</v>
      </c>
    </row>
    <row r="99" spans="1:16" ht="31" x14ac:dyDescent="0.35">
      <c r="A99" s="97"/>
      <c r="B99" s="109"/>
      <c r="C99" s="107"/>
      <c r="D99" s="41" t="s">
        <v>58</v>
      </c>
      <c r="E99" s="71"/>
      <c r="F99" s="38"/>
      <c r="G99" s="38"/>
      <c r="H99" s="57"/>
      <c r="I99" s="39"/>
      <c r="J99" s="39"/>
      <c r="K99" s="39"/>
      <c r="L99" s="39"/>
      <c r="M99" s="61"/>
      <c r="N99" s="61"/>
      <c r="O99" s="61"/>
      <c r="P99" s="61"/>
    </row>
    <row r="100" spans="1:16" x14ac:dyDescent="0.35">
      <c r="A100" s="97"/>
      <c r="B100" s="109"/>
      <c r="C100" s="107"/>
      <c r="D100" s="41" t="s">
        <v>55</v>
      </c>
      <c r="E100" s="71"/>
      <c r="F100" s="38"/>
      <c r="G100" s="38"/>
      <c r="H100" s="57"/>
      <c r="I100" s="39"/>
      <c r="J100" s="39"/>
      <c r="K100" s="39"/>
      <c r="L100" s="39"/>
      <c r="M100" s="61"/>
      <c r="N100" s="61"/>
      <c r="O100" s="61"/>
      <c r="P100" s="61"/>
    </row>
    <row r="101" spans="1:16" ht="31" x14ac:dyDescent="0.35">
      <c r="A101" s="97"/>
      <c r="B101" s="109"/>
      <c r="C101" s="107"/>
      <c r="D101" s="41" t="s">
        <v>61</v>
      </c>
      <c r="E101" s="71"/>
      <c r="F101" s="38"/>
      <c r="G101" s="38"/>
      <c r="H101" s="57"/>
      <c r="I101" s="39"/>
      <c r="J101" s="39"/>
      <c r="K101" s="39"/>
      <c r="L101" s="39"/>
      <c r="M101" s="61"/>
      <c r="N101" s="61"/>
      <c r="O101" s="61"/>
      <c r="P101" s="61"/>
    </row>
    <row r="102" spans="1:16" ht="31" x14ac:dyDescent="0.35">
      <c r="A102" s="97"/>
      <c r="B102" s="109"/>
      <c r="C102" s="107"/>
      <c r="D102" s="41" t="s">
        <v>60</v>
      </c>
      <c r="E102" s="71">
        <v>40</v>
      </c>
      <c r="F102" s="38"/>
      <c r="G102" s="38"/>
      <c r="H102" s="57"/>
      <c r="I102" s="39"/>
      <c r="J102" s="39"/>
      <c r="K102" s="39"/>
      <c r="L102" s="39"/>
      <c r="M102" s="61"/>
      <c r="N102" s="61"/>
      <c r="O102" s="61"/>
      <c r="P102" s="61"/>
    </row>
    <row r="103" spans="1:16" ht="17" customHeight="1" x14ac:dyDescent="0.35">
      <c r="A103" s="97"/>
      <c r="B103" s="109"/>
      <c r="C103" s="107" t="s">
        <v>41</v>
      </c>
      <c r="D103" s="41" t="s">
        <v>47</v>
      </c>
      <c r="E103" s="71"/>
      <c r="F103" s="38"/>
      <c r="G103" s="38"/>
      <c r="H103" s="57">
        <v>2024162042</v>
      </c>
      <c r="I103" s="39"/>
      <c r="J103" s="39"/>
      <c r="K103" s="85">
        <v>0.13333333333333333</v>
      </c>
      <c r="L103" s="85"/>
      <c r="M103" s="61">
        <f>H103*50%</f>
        <v>1012081021</v>
      </c>
      <c r="N103" s="61">
        <f>M103</f>
        <v>1012081021</v>
      </c>
      <c r="O103" s="61"/>
      <c r="P103" s="61"/>
    </row>
    <row r="104" spans="1:16" ht="31" x14ac:dyDescent="0.35">
      <c r="A104" s="97"/>
      <c r="B104" s="109"/>
      <c r="C104" s="107"/>
      <c r="D104" s="41" t="s">
        <v>62</v>
      </c>
      <c r="E104" s="71"/>
      <c r="F104" s="38"/>
      <c r="G104" s="38"/>
      <c r="H104" s="57"/>
      <c r="I104" s="39"/>
      <c r="J104" s="39"/>
      <c r="K104" s="85"/>
      <c r="L104" s="85"/>
      <c r="M104" s="61"/>
      <c r="N104" s="61"/>
      <c r="O104" s="61"/>
      <c r="P104" s="61"/>
    </row>
    <row r="105" spans="1:16" x14ac:dyDescent="0.35">
      <c r="A105" s="97"/>
      <c r="B105" s="109"/>
      <c r="C105" s="107"/>
      <c r="D105" s="41" t="s">
        <v>55</v>
      </c>
      <c r="E105" s="71"/>
      <c r="F105" s="38"/>
      <c r="G105" s="38"/>
      <c r="H105" s="57"/>
      <c r="I105" s="39"/>
      <c r="J105" s="39"/>
      <c r="K105" s="85"/>
      <c r="L105" s="85"/>
      <c r="M105" s="61"/>
      <c r="N105" s="61"/>
      <c r="O105" s="61"/>
      <c r="P105" s="61"/>
    </row>
    <row r="106" spans="1:16" ht="31" x14ac:dyDescent="0.35">
      <c r="A106" s="97"/>
      <c r="B106" s="109"/>
      <c r="C106" s="107"/>
      <c r="D106" s="41" t="s">
        <v>63</v>
      </c>
      <c r="E106" s="71">
        <v>13</v>
      </c>
      <c r="F106" s="38"/>
      <c r="G106" s="38"/>
      <c r="H106" s="57"/>
      <c r="I106" s="39"/>
      <c r="J106" s="39"/>
      <c r="K106" s="85"/>
      <c r="L106" s="85"/>
      <c r="M106" s="61"/>
      <c r="N106" s="61"/>
      <c r="O106" s="61"/>
      <c r="P106" s="61"/>
    </row>
    <row r="107" spans="1:16" ht="16" customHeight="1" x14ac:dyDescent="0.35">
      <c r="A107" s="97"/>
      <c r="B107" s="109"/>
      <c r="C107" s="107"/>
      <c r="D107" s="41" t="s">
        <v>57</v>
      </c>
      <c r="E107" s="71">
        <v>13476</v>
      </c>
      <c r="F107" s="38"/>
      <c r="G107" s="38"/>
      <c r="H107" s="57"/>
      <c r="I107" s="39"/>
      <c r="J107" s="39"/>
      <c r="K107" s="85"/>
      <c r="L107" s="85"/>
      <c r="M107" s="61"/>
      <c r="N107" s="61"/>
      <c r="O107" s="61"/>
      <c r="P107" s="61"/>
    </row>
    <row r="108" spans="1:16" ht="31" x14ac:dyDescent="0.35">
      <c r="A108" s="97" t="s">
        <v>77</v>
      </c>
      <c r="B108" s="95" t="s">
        <v>104</v>
      </c>
      <c r="C108" s="112" t="s">
        <v>78</v>
      </c>
      <c r="D108" s="44" t="s">
        <v>79</v>
      </c>
      <c r="E108" s="45" t="s">
        <v>80</v>
      </c>
      <c r="F108" s="46"/>
      <c r="G108" s="46"/>
      <c r="H108" s="60">
        <v>130000000</v>
      </c>
      <c r="I108" s="47">
        <v>45961</v>
      </c>
      <c r="J108" s="48">
        <v>0</v>
      </c>
      <c r="K108" s="48">
        <v>0</v>
      </c>
      <c r="L108" s="22"/>
      <c r="M108" s="62"/>
      <c r="N108" s="62">
        <v>30000000</v>
      </c>
      <c r="O108" s="62">
        <v>50000000</v>
      </c>
      <c r="P108" s="62">
        <v>50000000</v>
      </c>
    </row>
    <row r="109" spans="1:16" ht="31" x14ac:dyDescent="0.35">
      <c r="A109" s="97"/>
      <c r="B109" s="95"/>
      <c r="C109" s="112"/>
      <c r="D109" s="44" t="s">
        <v>81</v>
      </c>
      <c r="E109" s="45">
        <v>1</v>
      </c>
      <c r="F109" s="46"/>
      <c r="G109" s="46"/>
      <c r="H109" s="60">
        <v>70000000</v>
      </c>
      <c r="I109" s="51">
        <v>46234</v>
      </c>
      <c r="J109" s="48">
        <v>0</v>
      </c>
      <c r="K109" s="48">
        <v>0</v>
      </c>
      <c r="L109" s="22"/>
      <c r="M109" s="62"/>
      <c r="N109" s="62">
        <v>20000000</v>
      </c>
      <c r="O109" s="62">
        <v>50000000</v>
      </c>
      <c r="P109" s="62"/>
    </row>
    <row r="110" spans="1:16" x14ac:dyDescent="0.35">
      <c r="A110" s="97"/>
      <c r="B110" s="95"/>
      <c r="C110" s="112"/>
      <c r="D110" s="44" t="s">
        <v>82</v>
      </c>
      <c r="E110" s="45">
        <v>2</v>
      </c>
      <c r="F110" s="46"/>
      <c r="G110" s="46"/>
      <c r="H110" s="60">
        <v>25000000</v>
      </c>
      <c r="I110" s="47">
        <v>45961</v>
      </c>
      <c r="J110" s="48">
        <v>0</v>
      </c>
      <c r="K110" s="48">
        <v>0</v>
      </c>
      <c r="L110" s="22"/>
      <c r="M110" s="62"/>
      <c r="N110" s="62">
        <v>10000000</v>
      </c>
      <c r="O110" s="62">
        <v>15000000</v>
      </c>
      <c r="P110" s="62"/>
    </row>
    <row r="111" spans="1:16" x14ac:dyDescent="0.35">
      <c r="A111" s="97"/>
      <c r="B111" s="95"/>
      <c r="C111" s="112"/>
      <c r="D111" s="44"/>
      <c r="E111" s="45"/>
      <c r="F111" s="46"/>
      <c r="G111" s="46"/>
      <c r="H111" s="60">
        <v>25000000</v>
      </c>
      <c r="I111" s="45"/>
      <c r="J111" s="48">
        <v>0</v>
      </c>
      <c r="K111" s="48">
        <v>0</v>
      </c>
      <c r="L111" s="22"/>
      <c r="M111" s="62">
        <v>12000000</v>
      </c>
      <c r="N111" s="62">
        <v>13000000</v>
      </c>
      <c r="O111" s="62"/>
      <c r="P111" s="62"/>
    </row>
    <row r="112" spans="1:16" x14ac:dyDescent="0.35">
      <c r="A112" s="97"/>
      <c r="B112" s="95"/>
      <c r="C112" s="46"/>
      <c r="D112" s="49"/>
      <c r="E112" s="8"/>
      <c r="F112" s="49"/>
      <c r="G112" s="49"/>
      <c r="H112" s="58">
        <f>SUM(H108:H111)</f>
        <v>250000000</v>
      </c>
      <c r="I112" s="50"/>
      <c r="J112" s="50">
        <f>SUM(J108:J111)</f>
        <v>0</v>
      </c>
      <c r="K112" s="50">
        <f>SUM(K108:K111)</f>
        <v>0</v>
      </c>
      <c r="L112" s="22"/>
      <c r="M112" s="63">
        <f>SUM(M108:M111)</f>
        <v>12000000</v>
      </c>
      <c r="N112" s="63">
        <f>SUM(N108:N111)</f>
        <v>73000000</v>
      </c>
      <c r="O112" s="63">
        <f>SUM(O108:O111)</f>
        <v>115000000</v>
      </c>
      <c r="P112" s="63">
        <f>SUM(P108:P111)</f>
        <v>50000000</v>
      </c>
    </row>
    <row r="113" spans="1:16" x14ac:dyDescent="0.35">
      <c r="A113" s="97"/>
      <c r="B113" s="95"/>
      <c r="C113" s="112" t="s">
        <v>83</v>
      </c>
      <c r="D113" s="44" t="s">
        <v>84</v>
      </c>
      <c r="E113" s="45">
        <v>1500</v>
      </c>
      <c r="F113" s="46"/>
      <c r="G113" s="46"/>
      <c r="H113" s="60">
        <v>500000000</v>
      </c>
      <c r="I113" s="51">
        <v>46661</v>
      </c>
      <c r="J113" s="48">
        <v>0</v>
      </c>
      <c r="K113" s="48">
        <v>0</v>
      </c>
      <c r="L113" s="22"/>
      <c r="M113" s="62"/>
      <c r="N113" s="62">
        <v>100000000</v>
      </c>
      <c r="O113" s="62">
        <v>200000000</v>
      </c>
      <c r="P113" s="62">
        <v>200000000</v>
      </c>
    </row>
    <row r="114" spans="1:16" x14ac:dyDescent="0.35">
      <c r="A114" s="97"/>
      <c r="B114" s="95"/>
      <c r="C114" s="112"/>
      <c r="D114" s="44" t="s">
        <v>85</v>
      </c>
      <c r="E114" s="45">
        <v>1000</v>
      </c>
      <c r="F114" s="46"/>
      <c r="G114" s="46"/>
      <c r="H114" s="60">
        <v>300000000</v>
      </c>
      <c r="I114" s="51">
        <v>46234</v>
      </c>
      <c r="J114" s="48">
        <v>0</v>
      </c>
      <c r="K114" s="48">
        <v>0</v>
      </c>
      <c r="L114" s="22"/>
      <c r="M114" s="62">
        <v>50000000</v>
      </c>
      <c r="N114" s="62">
        <v>100000000</v>
      </c>
      <c r="O114" s="62">
        <v>150000000</v>
      </c>
      <c r="P114" s="62"/>
    </row>
    <row r="115" spans="1:16" x14ac:dyDescent="0.35">
      <c r="A115" s="97"/>
      <c r="B115" s="95"/>
      <c r="C115" s="112"/>
      <c r="D115" s="49"/>
      <c r="E115" s="8"/>
      <c r="F115" s="49"/>
      <c r="G115" s="49"/>
      <c r="H115" s="58">
        <f>SUM(H113:H114)</f>
        <v>800000000</v>
      </c>
      <c r="I115" s="50"/>
      <c r="J115" s="50">
        <f>SUM(J113:J114)</f>
        <v>0</v>
      </c>
      <c r="K115" s="50">
        <f>SUM(K113:K114)</f>
        <v>0</v>
      </c>
      <c r="L115" s="22"/>
      <c r="M115" s="63">
        <f>SUM(M113:M114)</f>
        <v>50000000</v>
      </c>
      <c r="N115" s="63">
        <f>SUM(N113:N114)</f>
        <v>200000000</v>
      </c>
      <c r="O115" s="63">
        <f>SUM(O113:O114)</f>
        <v>350000000</v>
      </c>
      <c r="P115" s="63">
        <f>SUM(P113:P114)</f>
        <v>200000000</v>
      </c>
    </row>
    <row r="116" spans="1:16" x14ac:dyDescent="0.35">
      <c r="A116" s="97"/>
      <c r="B116" s="95"/>
      <c r="C116" s="112" t="s">
        <v>86</v>
      </c>
      <c r="D116" s="44" t="s">
        <v>87</v>
      </c>
      <c r="E116" s="45">
        <v>1789</v>
      </c>
      <c r="F116" s="46"/>
      <c r="G116" s="46"/>
      <c r="H116" s="60">
        <v>1755000000</v>
      </c>
      <c r="I116" s="51">
        <v>46661</v>
      </c>
      <c r="J116" s="48">
        <v>0</v>
      </c>
      <c r="K116" s="48">
        <v>0</v>
      </c>
      <c r="L116" s="22"/>
      <c r="M116" s="62">
        <v>500000000</v>
      </c>
      <c r="N116" s="62">
        <v>500000000</v>
      </c>
      <c r="O116" s="62">
        <v>500000000</v>
      </c>
      <c r="P116" s="62">
        <v>255000000</v>
      </c>
    </row>
    <row r="117" spans="1:16" x14ac:dyDescent="0.35">
      <c r="A117" s="97"/>
      <c r="B117" s="95"/>
      <c r="C117" s="112"/>
      <c r="D117" s="46" t="s">
        <v>88</v>
      </c>
      <c r="E117" s="52" t="s">
        <v>89</v>
      </c>
      <c r="F117" s="46"/>
      <c r="G117" s="46"/>
      <c r="H117" s="60">
        <v>530000000</v>
      </c>
      <c r="I117" s="86">
        <v>46661</v>
      </c>
      <c r="J117" s="87">
        <v>0</v>
      </c>
      <c r="K117" s="87">
        <v>0</v>
      </c>
      <c r="L117" s="22"/>
      <c r="M117" s="63"/>
      <c r="N117" s="63"/>
      <c r="O117" s="63">
        <v>130000000</v>
      </c>
      <c r="P117" s="110">
        <v>400000000</v>
      </c>
    </row>
    <row r="118" spans="1:16" x14ac:dyDescent="0.35">
      <c r="A118" s="97"/>
      <c r="B118" s="95"/>
      <c r="C118" s="112"/>
      <c r="D118" s="46"/>
      <c r="E118" s="52">
        <v>10000</v>
      </c>
      <c r="F118" s="46"/>
      <c r="G118" s="46"/>
      <c r="H118" s="60"/>
      <c r="I118" s="86"/>
      <c r="J118" s="87"/>
      <c r="K118" s="87"/>
      <c r="L118" s="22"/>
      <c r="M118" s="63"/>
      <c r="N118" s="63"/>
      <c r="O118" s="63"/>
      <c r="P118" s="110"/>
    </row>
    <row r="119" spans="1:16" x14ac:dyDescent="0.35">
      <c r="A119" s="97"/>
      <c r="B119" s="95"/>
      <c r="C119" s="112"/>
      <c r="D119" s="49"/>
      <c r="E119" s="8"/>
      <c r="F119" s="49"/>
      <c r="G119" s="49"/>
      <c r="H119" s="58">
        <f>SUM(H116:H118)</f>
        <v>2285000000</v>
      </c>
      <c r="I119" s="50"/>
      <c r="J119" s="50">
        <f>SUM(J116:J118)</f>
        <v>0</v>
      </c>
      <c r="K119" s="50">
        <f>SUM(K116:K118)</f>
        <v>0</v>
      </c>
      <c r="L119" s="22"/>
      <c r="M119" s="63">
        <f>SUM(M116:M118)</f>
        <v>500000000</v>
      </c>
      <c r="N119" s="63">
        <f>SUM(N116:N118)</f>
        <v>500000000</v>
      </c>
      <c r="O119" s="63">
        <f>SUM(O116:O118)</f>
        <v>630000000</v>
      </c>
      <c r="P119" s="63">
        <f>SUM(P116:P118)</f>
        <v>655000000</v>
      </c>
    </row>
    <row r="120" spans="1:16" ht="16" customHeight="1" x14ac:dyDescent="0.35">
      <c r="A120" s="97"/>
      <c r="B120" s="95"/>
      <c r="C120" s="108" t="s">
        <v>90</v>
      </c>
      <c r="D120" s="46" t="s">
        <v>91</v>
      </c>
      <c r="E120" s="45" t="s">
        <v>92</v>
      </c>
      <c r="F120" s="46"/>
      <c r="G120" s="46"/>
      <c r="H120" s="60">
        <v>600000000</v>
      </c>
      <c r="I120" s="46" t="s">
        <v>93</v>
      </c>
      <c r="J120" s="87">
        <v>0</v>
      </c>
      <c r="K120" s="87">
        <v>0</v>
      </c>
      <c r="L120" s="22"/>
      <c r="M120" s="63"/>
      <c r="N120" s="63"/>
      <c r="O120" s="63">
        <v>300000000</v>
      </c>
      <c r="P120" s="110">
        <v>300000000</v>
      </c>
    </row>
    <row r="121" spans="1:16" x14ac:dyDescent="0.35">
      <c r="A121" s="97"/>
      <c r="B121" s="95"/>
      <c r="C121" s="108"/>
      <c r="D121" s="46"/>
      <c r="E121" s="45"/>
      <c r="F121" s="46"/>
      <c r="G121" s="46"/>
      <c r="H121" s="60"/>
      <c r="I121" s="46"/>
      <c r="J121" s="87"/>
      <c r="K121" s="87"/>
      <c r="L121" s="22"/>
      <c r="M121" s="63"/>
      <c r="N121" s="63"/>
      <c r="O121" s="63"/>
      <c r="P121" s="110"/>
    </row>
    <row r="122" spans="1:16" x14ac:dyDescent="0.35">
      <c r="A122" s="97"/>
      <c r="B122" s="95"/>
      <c r="C122" s="108"/>
      <c r="D122" s="46"/>
      <c r="E122" s="45"/>
      <c r="F122" s="46"/>
      <c r="G122" s="46"/>
      <c r="H122" s="60"/>
      <c r="I122" s="46"/>
      <c r="J122" s="87"/>
      <c r="K122" s="87"/>
      <c r="L122" s="22"/>
      <c r="M122" s="63"/>
      <c r="N122" s="63"/>
      <c r="O122" s="63"/>
      <c r="P122" s="110"/>
    </row>
    <row r="123" spans="1:16" ht="16" customHeight="1" x14ac:dyDescent="0.35">
      <c r="A123" s="97"/>
      <c r="B123" s="95"/>
      <c r="C123" s="108"/>
      <c r="D123" s="46"/>
      <c r="E123" s="45">
        <v>7</v>
      </c>
      <c r="F123" s="46"/>
      <c r="G123" s="46"/>
      <c r="H123" s="60"/>
      <c r="I123" s="46"/>
      <c r="J123" s="87"/>
      <c r="K123" s="87"/>
      <c r="L123" s="22"/>
      <c r="M123" s="63"/>
      <c r="N123" s="63"/>
      <c r="O123" s="63"/>
      <c r="P123" s="110"/>
    </row>
    <row r="124" spans="1:16" x14ac:dyDescent="0.35">
      <c r="A124" s="97"/>
      <c r="B124" s="95"/>
      <c r="C124" s="108"/>
      <c r="D124" s="46"/>
      <c r="E124" s="45"/>
      <c r="F124" s="46"/>
      <c r="G124" s="46"/>
      <c r="H124" s="60"/>
      <c r="I124" s="46"/>
      <c r="J124" s="87"/>
      <c r="K124" s="87"/>
      <c r="L124" s="22"/>
      <c r="M124" s="63"/>
      <c r="N124" s="63"/>
      <c r="O124" s="63"/>
      <c r="P124" s="110"/>
    </row>
    <row r="125" spans="1:16" x14ac:dyDescent="0.35">
      <c r="A125" s="97"/>
      <c r="B125" s="95"/>
      <c r="C125" s="108"/>
      <c r="D125" s="46"/>
      <c r="E125" s="45"/>
      <c r="F125" s="46"/>
      <c r="G125" s="46"/>
      <c r="H125" s="60"/>
      <c r="I125" s="46"/>
      <c r="J125" s="87"/>
      <c r="K125" s="87"/>
      <c r="L125" s="22"/>
      <c r="M125" s="63"/>
      <c r="N125" s="63"/>
      <c r="O125" s="63"/>
      <c r="P125" s="110"/>
    </row>
    <row r="126" spans="1:16" ht="16" customHeight="1" x14ac:dyDescent="0.35">
      <c r="A126" s="97"/>
      <c r="B126" s="95"/>
      <c r="C126" s="108"/>
      <c r="D126" s="46" t="s">
        <v>94</v>
      </c>
      <c r="E126" s="45">
        <v>50</v>
      </c>
      <c r="F126" s="46"/>
      <c r="G126" s="46"/>
      <c r="H126" s="60">
        <v>200000000</v>
      </c>
      <c r="I126" s="88">
        <v>45961</v>
      </c>
      <c r="J126" s="87">
        <v>0</v>
      </c>
      <c r="K126" s="87">
        <v>0</v>
      </c>
      <c r="L126" s="22"/>
      <c r="M126" s="63"/>
      <c r="N126" s="63"/>
      <c r="O126" s="63"/>
      <c r="P126" s="110">
        <v>200000000</v>
      </c>
    </row>
    <row r="127" spans="1:16" x14ac:dyDescent="0.35">
      <c r="A127" s="97"/>
      <c r="B127" s="95"/>
      <c r="C127" s="108"/>
      <c r="D127" s="46"/>
      <c r="E127" s="45"/>
      <c r="F127" s="46"/>
      <c r="G127" s="46"/>
      <c r="H127" s="60"/>
      <c r="I127" s="88"/>
      <c r="J127" s="87"/>
      <c r="K127" s="87"/>
      <c r="L127" s="22"/>
      <c r="M127" s="63"/>
      <c r="N127" s="63"/>
      <c r="O127" s="63"/>
      <c r="P127" s="110"/>
    </row>
    <row r="128" spans="1:16" ht="16" customHeight="1" x14ac:dyDescent="0.35">
      <c r="A128" s="97"/>
      <c r="B128" s="95"/>
      <c r="C128" s="108"/>
      <c r="D128" s="46"/>
      <c r="E128" s="45"/>
      <c r="F128" s="46"/>
      <c r="G128" s="46"/>
      <c r="H128" s="60"/>
      <c r="I128" s="88"/>
      <c r="J128" s="87"/>
      <c r="K128" s="87"/>
      <c r="L128" s="22"/>
      <c r="M128" s="63"/>
      <c r="N128" s="63"/>
      <c r="O128" s="63"/>
      <c r="P128" s="110"/>
    </row>
    <row r="129" spans="1:16" x14ac:dyDescent="0.35">
      <c r="A129" s="97"/>
      <c r="B129" s="95"/>
      <c r="C129" s="108"/>
      <c r="D129" s="46"/>
      <c r="E129" s="45"/>
      <c r="F129" s="46"/>
      <c r="G129" s="46"/>
      <c r="H129" s="60"/>
      <c r="I129" s="88"/>
      <c r="J129" s="87"/>
      <c r="K129" s="87"/>
      <c r="L129" s="22"/>
      <c r="M129" s="63"/>
      <c r="N129" s="63"/>
      <c r="O129" s="63"/>
      <c r="P129" s="110"/>
    </row>
    <row r="130" spans="1:16" x14ac:dyDescent="0.35">
      <c r="A130" s="97"/>
      <c r="B130" s="95"/>
      <c r="C130" s="108"/>
      <c r="D130" s="46"/>
      <c r="E130" s="45"/>
      <c r="F130" s="46"/>
      <c r="G130" s="46"/>
      <c r="H130" s="60"/>
      <c r="I130" s="88"/>
      <c r="J130" s="87"/>
      <c r="K130" s="87"/>
      <c r="L130" s="22"/>
      <c r="M130" s="63"/>
      <c r="N130" s="63"/>
      <c r="O130" s="63"/>
      <c r="P130" s="110"/>
    </row>
    <row r="131" spans="1:16" x14ac:dyDescent="0.35">
      <c r="A131" s="97"/>
      <c r="B131" s="95"/>
      <c r="C131" s="108"/>
      <c r="D131" s="46"/>
      <c r="E131" s="45"/>
      <c r="F131" s="46"/>
      <c r="G131" s="46"/>
      <c r="H131" s="60"/>
      <c r="I131" s="88"/>
      <c r="J131" s="87"/>
      <c r="K131" s="87"/>
      <c r="L131" s="22"/>
      <c r="M131" s="63"/>
      <c r="N131" s="63"/>
      <c r="O131" s="63"/>
      <c r="P131" s="110"/>
    </row>
    <row r="132" spans="1:16" x14ac:dyDescent="0.35">
      <c r="A132" s="97"/>
      <c r="B132" s="95"/>
      <c r="C132" s="108"/>
      <c r="D132" s="46"/>
      <c r="E132" s="45"/>
      <c r="F132" s="46"/>
      <c r="G132" s="46"/>
      <c r="H132" s="60"/>
      <c r="I132" s="88"/>
      <c r="J132" s="87"/>
      <c r="K132" s="87"/>
      <c r="L132" s="22"/>
      <c r="M132" s="63"/>
      <c r="N132" s="63"/>
      <c r="O132" s="63"/>
      <c r="P132" s="110"/>
    </row>
    <row r="133" spans="1:16" ht="16" customHeight="1" x14ac:dyDescent="0.35">
      <c r="A133" s="97"/>
      <c r="B133" s="95"/>
      <c r="C133" s="108"/>
      <c r="D133" s="46" t="s">
        <v>95</v>
      </c>
      <c r="E133" s="45" t="s">
        <v>96</v>
      </c>
      <c r="F133" s="46"/>
      <c r="G133" s="46"/>
      <c r="H133" s="60">
        <v>400000000</v>
      </c>
      <c r="I133" s="88">
        <v>45869</v>
      </c>
      <c r="J133" s="87">
        <v>0</v>
      </c>
      <c r="K133" s="87">
        <v>0</v>
      </c>
      <c r="L133" s="22"/>
      <c r="M133" s="63"/>
      <c r="N133" s="63"/>
      <c r="O133" s="63">
        <v>200000000</v>
      </c>
      <c r="P133" s="110">
        <v>200000000</v>
      </c>
    </row>
    <row r="134" spans="1:16" x14ac:dyDescent="0.35">
      <c r="A134" s="97"/>
      <c r="B134" s="95"/>
      <c r="C134" s="108"/>
      <c r="D134" s="46"/>
      <c r="E134" s="45"/>
      <c r="F134" s="46"/>
      <c r="G134" s="46"/>
      <c r="H134" s="60"/>
      <c r="I134" s="46"/>
      <c r="J134" s="87"/>
      <c r="K134" s="87"/>
      <c r="L134" s="22"/>
      <c r="M134" s="63"/>
      <c r="N134" s="63"/>
      <c r="O134" s="63"/>
      <c r="P134" s="110"/>
    </row>
    <row r="135" spans="1:16" x14ac:dyDescent="0.35">
      <c r="A135" s="97"/>
      <c r="B135" s="95"/>
      <c r="C135" s="108"/>
      <c r="D135" s="46"/>
      <c r="E135" s="45"/>
      <c r="F135" s="46"/>
      <c r="G135" s="46"/>
      <c r="H135" s="60"/>
      <c r="I135" s="46"/>
      <c r="J135" s="87"/>
      <c r="K135" s="87"/>
      <c r="L135" s="22"/>
      <c r="M135" s="63"/>
      <c r="N135" s="63"/>
      <c r="O135" s="63"/>
      <c r="P135" s="110"/>
    </row>
    <row r="136" spans="1:16" x14ac:dyDescent="0.35">
      <c r="A136" s="97"/>
      <c r="B136" s="95"/>
      <c r="C136" s="108"/>
      <c r="D136" s="46"/>
      <c r="E136" s="45"/>
      <c r="F136" s="46"/>
      <c r="G136" s="46"/>
      <c r="H136" s="60"/>
      <c r="I136" s="46"/>
      <c r="J136" s="87"/>
      <c r="K136" s="87"/>
      <c r="L136" s="22"/>
      <c r="M136" s="63"/>
      <c r="N136" s="63"/>
      <c r="O136" s="63"/>
      <c r="P136" s="110"/>
    </row>
    <row r="137" spans="1:16" x14ac:dyDescent="0.35">
      <c r="A137" s="97"/>
      <c r="B137" s="95"/>
      <c r="C137" s="108"/>
      <c r="D137" s="46"/>
      <c r="E137" s="45"/>
      <c r="F137" s="46"/>
      <c r="G137" s="46"/>
      <c r="H137" s="60"/>
      <c r="I137" s="46"/>
      <c r="J137" s="87"/>
      <c r="K137" s="87"/>
      <c r="L137" s="22"/>
      <c r="M137" s="63"/>
      <c r="N137" s="63"/>
      <c r="O137" s="63"/>
      <c r="P137" s="110"/>
    </row>
    <row r="138" spans="1:16" x14ac:dyDescent="0.35">
      <c r="A138" s="97"/>
      <c r="B138" s="95"/>
      <c r="C138" s="108"/>
      <c r="D138" s="46"/>
      <c r="E138" s="45"/>
      <c r="F138" s="46"/>
      <c r="G138" s="46"/>
      <c r="H138" s="60"/>
      <c r="I138" s="46"/>
      <c r="J138" s="87"/>
      <c r="K138" s="87"/>
      <c r="L138" s="22"/>
      <c r="M138" s="63"/>
      <c r="N138" s="63"/>
      <c r="O138" s="63"/>
      <c r="P138" s="110"/>
    </row>
    <row r="139" spans="1:16" x14ac:dyDescent="0.35">
      <c r="A139" s="97"/>
      <c r="B139" s="95"/>
      <c r="C139" s="108"/>
      <c r="D139" s="46"/>
      <c r="E139" s="45"/>
      <c r="F139" s="46"/>
      <c r="G139" s="46"/>
      <c r="H139" s="60"/>
      <c r="I139" s="46"/>
      <c r="J139" s="87"/>
      <c r="K139" s="87"/>
      <c r="L139" s="22"/>
      <c r="M139" s="63"/>
      <c r="N139" s="63"/>
      <c r="O139" s="63"/>
      <c r="P139" s="110"/>
    </row>
    <row r="140" spans="1:16" x14ac:dyDescent="0.35">
      <c r="A140" s="97"/>
      <c r="B140" s="95"/>
      <c r="C140" s="108"/>
      <c r="D140" s="46"/>
      <c r="E140" s="45"/>
      <c r="F140" s="46"/>
      <c r="G140" s="46"/>
      <c r="H140" s="60"/>
      <c r="I140" s="46"/>
      <c r="J140" s="87"/>
      <c r="K140" s="87"/>
      <c r="L140" s="22"/>
      <c r="M140" s="63"/>
      <c r="N140" s="63"/>
      <c r="O140" s="63"/>
      <c r="P140" s="110"/>
    </row>
    <row r="141" spans="1:16" ht="31" x14ac:dyDescent="0.35">
      <c r="A141" s="97"/>
      <c r="B141" s="95"/>
      <c r="C141" s="108"/>
      <c r="D141" s="46" t="s">
        <v>97</v>
      </c>
      <c r="E141" s="45" t="s">
        <v>98</v>
      </c>
      <c r="F141" s="46"/>
      <c r="G141" s="46"/>
      <c r="H141" s="60">
        <v>1300000000</v>
      </c>
      <c r="I141" s="88">
        <v>45961</v>
      </c>
      <c r="J141" s="87">
        <v>0</v>
      </c>
      <c r="K141" s="87">
        <v>0</v>
      </c>
      <c r="L141" s="22"/>
      <c r="M141" s="63">
        <v>500000000</v>
      </c>
      <c r="N141" s="63">
        <v>500000000</v>
      </c>
      <c r="O141" s="63">
        <v>200000000</v>
      </c>
      <c r="P141" s="110">
        <v>100000000</v>
      </c>
    </row>
    <row r="142" spans="1:16" x14ac:dyDescent="0.35">
      <c r="A142" s="97"/>
      <c r="B142" s="95"/>
      <c r="C142" s="108"/>
      <c r="D142" s="46"/>
      <c r="E142" s="45" t="s">
        <v>99</v>
      </c>
      <c r="F142" s="46"/>
      <c r="G142" s="46"/>
      <c r="H142" s="60"/>
      <c r="I142" s="88"/>
      <c r="J142" s="87"/>
      <c r="K142" s="87"/>
      <c r="L142" s="22"/>
      <c r="M142" s="63"/>
      <c r="N142" s="63"/>
      <c r="O142" s="63"/>
      <c r="P142" s="110"/>
    </row>
    <row r="143" spans="1:16" x14ac:dyDescent="0.35">
      <c r="A143" s="97"/>
      <c r="B143" s="95"/>
      <c r="C143" s="108"/>
      <c r="D143" s="46"/>
      <c r="E143" s="45" t="s">
        <v>100</v>
      </c>
      <c r="F143" s="46"/>
      <c r="G143" s="46"/>
      <c r="H143" s="60"/>
      <c r="I143" s="88"/>
      <c r="J143" s="87"/>
      <c r="K143" s="87"/>
      <c r="L143" s="22"/>
      <c r="M143" s="63"/>
      <c r="N143" s="63"/>
      <c r="O143" s="63"/>
      <c r="P143" s="110"/>
    </row>
    <row r="144" spans="1:16" x14ac:dyDescent="0.35">
      <c r="A144" s="97"/>
      <c r="B144" s="95"/>
      <c r="C144" s="108"/>
      <c r="D144" s="46"/>
      <c r="E144" s="45">
        <v>5</v>
      </c>
      <c r="F144" s="46"/>
      <c r="G144" s="46"/>
      <c r="H144" s="60"/>
      <c r="I144" s="88"/>
      <c r="J144" s="87"/>
      <c r="K144" s="87"/>
      <c r="L144" s="22"/>
      <c r="M144" s="63"/>
      <c r="N144" s="63"/>
      <c r="O144" s="63"/>
      <c r="P144" s="110"/>
    </row>
    <row r="145" spans="1:17" x14ac:dyDescent="0.35">
      <c r="A145" s="97"/>
      <c r="B145" s="95"/>
      <c r="C145" s="108"/>
      <c r="D145" s="45"/>
      <c r="E145" s="45"/>
      <c r="F145" s="46"/>
      <c r="G145" s="46"/>
      <c r="H145" s="60">
        <v>800000000</v>
      </c>
      <c r="I145" s="47"/>
      <c r="J145" s="48">
        <v>0</v>
      </c>
      <c r="K145" s="48">
        <v>0</v>
      </c>
      <c r="L145" s="22"/>
      <c r="M145" s="63">
        <v>200000000</v>
      </c>
      <c r="N145" s="63">
        <v>300000000</v>
      </c>
      <c r="O145" s="63">
        <v>300000000</v>
      </c>
      <c r="P145" s="63"/>
    </row>
    <row r="146" spans="1:17" x14ac:dyDescent="0.35">
      <c r="A146" s="97"/>
      <c r="B146" s="95"/>
      <c r="C146" s="108"/>
      <c r="D146" s="45"/>
      <c r="E146" s="45"/>
      <c r="F146" s="46"/>
      <c r="G146" s="46"/>
      <c r="H146" s="60">
        <v>600000000</v>
      </c>
      <c r="I146" s="47"/>
      <c r="J146" s="48">
        <v>0</v>
      </c>
      <c r="K146" s="48">
        <v>0</v>
      </c>
      <c r="L146" s="22"/>
      <c r="M146" s="63">
        <v>300000000</v>
      </c>
      <c r="N146" s="63">
        <v>300000000</v>
      </c>
      <c r="O146" s="63"/>
      <c r="P146" s="63"/>
    </row>
    <row r="147" spans="1:17" x14ac:dyDescent="0.35">
      <c r="A147" s="97"/>
      <c r="B147" s="95"/>
      <c r="C147" s="108"/>
      <c r="D147" s="53"/>
      <c r="E147" s="73"/>
      <c r="F147" s="53"/>
      <c r="G147" s="53"/>
      <c r="H147" s="58">
        <f>SUM(H120:H146)</f>
        <v>3900000000</v>
      </c>
      <c r="I147" s="50"/>
      <c r="J147" s="50">
        <f>SUM(J120:J146)</f>
        <v>0</v>
      </c>
      <c r="K147" s="50">
        <f>SUM(K120:K146)</f>
        <v>0</v>
      </c>
      <c r="L147" s="22"/>
      <c r="M147" s="64">
        <f>SUM(M120:M146)</f>
        <v>1000000000</v>
      </c>
      <c r="N147" s="64">
        <f>SUM(N120:N146)</f>
        <v>1100000000</v>
      </c>
      <c r="O147" s="64">
        <f>SUM(O120:O146)</f>
        <v>1000000000</v>
      </c>
      <c r="P147" s="64">
        <f>SUM(P120:P146)</f>
        <v>800000000</v>
      </c>
    </row>
    <row r="148" spans="1:17" ht="31" x14ac:dyDescent="0.35">
      <c r="A148" s="97"/>
      <c r="B148" s="95"/>
      <c r="C148" s="112" t="s">
        <v>101</v>
      </c>
      <c r="D148" s="44" t="s">
        <v>102</v>
      </c>
      <c r="E148" s="45" t="s">
        <v>103</v>
      </c>
      <c r="F148" s="46"/>
      <c r="G148" s="46"/>
      <c r="H148" s="60">
        <v>1500000000</v>
      </c>
      <c r="I148" s="47">
        <v>45961</v>
      </c>
      <c r="J148" s="48">
        <v>0</v>
      </c>
      <c r="K148" s="48">
        <v>0</v>
      </c>
      <c r="L148" s="22"/>
      <c r="M148" s="62">
        <v>500000000</v>
      </c>
      <c r="N148" s="62">
        <v>500000000</v>
      </c>
      <c r="O148" s="62">
        <v>500000000</v>
      </c>
      <c r="P148" s="62"/>
    </row>
    <row r="149" spans="1:17" x14ac:dyDescent="0.35">
      <c r="A149" s="97"/>
      <c r="B149" s="95"/>
      <c r="C149" s="112"/>
      <c r="D149" s="49"/>
      <c r="E149" s="8"/>
      <c r="F149" s="49"/>
      <c r="G149" s="49"/>
      <c r="H149" s="58">
        <f>SUM(H148)</f>
        <v>1500000000</v>
      </c>
      <c r="I149" s="50"/>
      <c r="J149" s="50">
        <f>SUM(J148)</f>
        <v>0</v>
      </c>
      <c r="K149" s="50">
        <f>SUM(K148)</f>
        <v>0</v>
      </c>
      <c r="L149" s="22"/>
      <c r="M149" s="64" t="e">
        <f>SUM(#REF!)</f>
        <v>#REF!</v>
      </c>
      <c r="N149" s="64">
        <f>SUM(M148)</f>
        <v>500000000</v>
      </c>
      <c r="O149" s="64">
        <f>SUM(N148)</f>
        <v>500000000</v>
      </c>
      <c r="P149" s="64">
        <f>SUM(O148)</f>
        <v>500000000</v>
      </c>
      <c r="Q149" s="59">
        <f>SUM(P148)</f>
        <v>0</v>
      </c>
    </row>
    <row r="150" spans="1:17" ht="34" x14ac:dyDescent="0.35">
      <c r="A150" s="116" t="s">
        <v>105</v>
      </c>
      <c r="B150" s="95" t="s">
        <v>106</v>
      </c>
      <c r="C150" s="111" t="s">
        <v>107</v>
      </c>
      <c r="D150" s="46" t="s">
        <v>108</v>
      </c>
      <c r="E150" s="74">
        <v>1</v>
      </c>
      <c r="F150" s="46"/>
      <c r="G150" s="55"/>
      <c r="H150" s="66" t="s">
        <v>109</v>
      </c>
      <c r="I150" s="46" t="s">
        <v>278</v>
      </c>
      <c r="J150" s="111">
        <v>0</v>
      </c>
      <c r="K150" s="111"/>
      <c r="L150" s="46" t="s">
        <v>132</v>
      </c>
      <c r="M150" s="25"/>
      <c r="N150" s="25"/>
      <c r="O150" s="25"/>
      <c r="P150" s="25"/>
    </row>
    <row r="151" spans="1:17" ht="108.5" x14ac:dyDescent="0.35">
      <c r="A151" s="116"/>
      <c r="B151" s="95"/>
      <c r="C151" s="111"/>
      <c r="D151" s="46" t="s">
        <v>169</v>
      </c>
      <c r="E151" s="45">
        <v>2</v>
      </c>
      <c r="F151" s="46"/>
      <c r="G151" s="55"/>
      <c r="H151" s="66" t="s">
        <v>110</v>
      </c>
      <c r="I151" s="46" t="s">
        <v>278</v>
      </c>
      <c r="J151" s="111"/>
      <c r="K151" s="111"/>
      <c r="L151" s="46" t="s">
        <v>111</v>
      </c>
      <c r="M151" s="25"/>
      <c r="N151" s="25"/>
      <c r="O151" s="25"/>
      <c r="P151" s="25"/>
    </row>
    <row r="152" spans="1:17" ht="34" x14ac:dyDescent="0.35">
      <c r="A152" s="116"/>
      <c r="B152" s="95"/>
      <c r="C152" s="111" t="s">
        <v>112</v>
      </c>
      <c r="D152" s="46" t="s">
        <v>113</v>
      </c>
      <c r="E152" s="45">
        <v>1</v>
      </c>
      <c r="F152" s="46"/>
      <c r="G152" s="55"/>
      <c r="H152" s="66" t="s">
        <v>114</v>
      </c>
      <c r="I152" s="46" t="s">
        <v>279</v>
      </c>
      <c r="J152" s="46">
        <v>0</v>
      </c>
      <c r="K152" s="46"/>
      <c r="L152" s="111"/>
      <c r="M152" s="25"/>
      <c r="N152" s="25"/>
      <c r="O152" s="25"/>
      <c r="P152" s="25"/>
    </row>
    <row r="153" spans="1:17" ht="34" x14ac:dyDescent="0.35">
      <c r="A153" s="116"/>
      <c r="B153" s="95"/>
      <c r="C153" s="111"/>
      <c r="D153" s="46" t="s">
        <v>115</v>
      </c>
      <c r="E153" s="45">
        <v>1</v>
      </c>
      <c r="F153" s="46"/>
      <c r="G153" s="55"/>
      <c r="H153" s="66" t="s">
        <v>116</v>
      </c>
      <c r="I153" s="46" t="s">
        <v>279</v>
      </c>
      <c r="J153" s="46">
        <v>0</v>
      </c>
      <c r="K153" s="46"/>
      <c r="L153" s="111"/>
      <c r="M153" s="25"/>
      <c r="N153" s="25"/>
      <c r="O153" s="25"/>
      <c r="P153" s="25"/>
    </row>
    <row r="154" spans="1:17" x14ac:dyDescent="0.35">
      <c r="A154" s="116"/>
      <c r="B154" s="95"/>
      <c r="C154" s="111"/>
      <c r="D154" s="111" t="s">
        <v>117</v>
      </c>
      <c r="E154" s="112">
        <v>1</v>
      </c>
      <c r="F154" s="111"/>
      <c r="G154" s="113"/>
      <c r="H154" s="66"/>
      <c r="I154" s="111" t="s">
        <v>279</v>
      </c>
      <c r="J154" s="111">
        <v>0</v>
      </c>
      <c r="K154" s="111"/>
      <c r="L154" s="111"/>
      <c r="M154" s="25"/>
      <c r="N154" s="25"/>
      <c r="O154" s="25"/>
      <c r="P154" s="25"/>
    </row>
    <row r="155" spans="1:17" x14ac:dyDescent="0.35">
      <c r="A155" s="116"/>
      <c r="B155" s="95"/>
      <c r="C155" s="111"/>
      <c r="D155" s="111"/>
      <c r="E155" s="112"/>
      <c r="F155" s="111"/>
      <c r="G155" s="113"/>
      <c r="H155" s="66" t="s">
        <v>118</v>
      </c>
      <c r="I155" s="111"/>
      <c r="J155" s="111"/>
      <c r="K155" s="111"/>
      <c r="L155" s="111"/>
      <c r="M155" s="25"/>
      <c r="N155" s="25"/>
      <c r="O155" s="25"/>
      <c r="P155" s="25"/>
    </row>
    <row r="156" spans="1:17" ht="34" x14ac:dyDescent="0.35">
      <c r="A156" s="116"/>
      <c r="B156" s="95"/>
      <c r="C156" s="111"/>
      <c r="D156" s="46" t="s">
        <v>119</v>
      </c>
      <c r="E156" s="45">
        <v>1</v>
      </c>
      <c r="F156" s="46"/>
      <c r="G156" s="55"/>
      <c r="H156" s="66" t="s">
        <v>118</v>
      </c>
      <c r="I156" s="46" t="s">
        <v>279</v>
      </c>
      <c r="J156" s="46">
        <v>0</v>
      </c>
      <c r="K156" s="46"/>
      <c r="L156" s="111"/>
      <c r="M156" s="25"/>
      <c r="N156" s="25"/>
      <c r="O156" s="25"/>
      <c r="P156" s="25"/>
    </row>
    <row r="157" spans="1:17" ht="46.5" x14ac:dyDescent="0.35">
      <c r="A157" s="116"/>
      <c r="B157" s="95"/>
      <c r="C157" s="46" t="s">
        <v>120</v>
      </c>
      <c r="D157" s="46" t="s">
        <v>168</v>
      </c>
      <c r="E157" s="74">
        <v>0.65</v>
      </c>
      <c r="F157" s="46"/>
      <c r="G157" s="55"/>
      <c r="H157" s="66"/>
      <c r="I157" s="46" t="s">
        <v>280</v>
      </c>
      <c r="J157" s="46">
        <v>0</v>
      </c>
      <c r="K157" s="46">
        <v>0</v>
      </c>
      <c r="L157" s="46" t="s">
        <v>121</v>
      </c>
      <c r="M157" s="25"/>
      <c r="N157" s="25"/>
      <c r="O157" s="25"/>
      <c r="P157" s="25"/>
    </row>
    <row r="158" spans="1:17" ht="108.5" x14ac:dyDescent="0.35">
      <c r="A158" s="116"/>
      <c r="B158" s="95"/>
      <c r="C158" s="46" t="s">
        <v>133</v>
      </c>
      <c r="D158" s="46" t="s">
        <v>122</v>
      </c>
      <c r="E158" s="45">
        <v>25</v>
      </c>
      <c r="F158" s="54"/>
      <c r="G158" s="54"/>
      <c r="H158" s="66" t="s">
        <v>123</v>
      </c>
      <c r="I158" s="46" t="s">
        <v>124</v>
      </c>
      <c r="J158" s="46">
        <v>0</v>
      </c>
      <c r="K158" s="46">
        <v>0</v>
      </c>
      <c r="L158" s="46"/>
      <c r="M158" s="25"/>
      <c r="N158" s="25"/>
      <c r="O158" s="25"/>
      <c r="P158" s="25"/>
    </row>
    <row r="159" spans="1:17" ht="31" x14ac:dyDescent="0.35">
      <c r="A159" s="116"/>
      <c r="B159" s="95"/>
      <c r="C159" s="46" t="s">
        <v>125</v>
      </c>
      <c r="D159" s="46" t="s">
        <v>126</v>
      </c>
      <c r="E159" s="74">
        <v>1</v>
      </c>
      <c r="F159" s="54"/>
      <c r="G159" s="54"/>
      <c r="H159" s="66" t="s">
        <v>127</v>
      </c>
      <c r="I159" s="46" t="s">
        <v>124</v>
      </c>
      <c r="J159" s="46">
        <v>0</v>
      </c>
      <c r="K159" s="46">
        <v>0</v>
      </c>
      <c r="L159" s="46"/>
      <c r="M159" s="25"/>
      <c r="N159" s="25"/>
      <c r="O159" s="25"/>
      <c r="P159" s="25"/>
    </row>
    <row r="160" spans="1:17" ht="46.5" x14ac:dyDescent="0.35">
      <c r="A160" s="116"/>
      <c r="B160" s="95"/>
      <c r="C160" s="46" t="s">
        <v>128</v>
      </c>
      <c r="D160" s="46" t="s">
        <v>129</v>
      </c>
      <c r="E160" s="45">
        <v>10</v>
      </c>
      <c r="F160" s="54"/>
      <c r="G160" s="54"/>
      <c r="H160" s="66" t="s">
        <v>130</v>
      </c>
      <c r="I160" s="46" t="s">
        <v>124</v>
      </c>
      <c r="J160" s="46">
        <v>0</v>
      </c>
      <c r="K160" s="46">
        <v>0</v>
      </c>
      <c r="L160" s="46"/>
      <c r="M160" s="25"/>
      <c r="N160" s="25"/>
      <c r="O160" s="25"/>
      <c r="P160" s="25"/>
    </row>
    <row r="161" spans="1:16" ht="46.5" x14ac:dyDescent="0.35">
      <c r="A161" s="116"/>
      <c r="B161" s="95"/>
      <c r="C161" s="46" t="s">
        <v>134</v>
      </c>
      <c r="D161" s="46" t="s">
        <v>135</v>
      </c>
      <c r="E161" s="45">
        <v>20</v>
      </c>
      <c r="F161" s="54"/>
      <c r="G161" s="54"/>
      <c r="H161" s="66" t="s">
        <v>131</v>
      </c>
      <c r="I161" s="46"/>
      <c r="J161" s="46"/>
      <c r="K161" s="46"/>
      <c r="L161" s="46"/>
      <c r="M161" s="25"/>
      <c r="N161" s="25"/>
      <c r="O161" s="25"/>
      <c r="P161" s="25"/>
    </row>
    <row r="162" spans="1:16" x14ac:dyDescent="0.35">
      <c r="A162" s="114" t="s">
        <v>105</v>
      </c>
      <c r="B162" s="115" t="s">
        <v>281</v>
      </c>
      <c r="C162" s="75" t="s">
        <v>136</v>
      </c>
      <c r="D162" s="75" t="s">
        <v>137</v>
      </c>
      <c r="E162" s="76">
        <v>8</v>
      </c>
      <c r="F162" s="76">
        <v>100</v>
      </c>
      <c r="G162" s="1"/>
      <c r="H162" s="83">
        <v>367000000</v>
      </c>
      <c r="I162" s="77" t="s">
        <v>30</v>
      </c>
      <c r="J162" s="77">
        <v>60</v>
      </c>
      <c r="K162" s="77">
        <v>52</v>
      </c>
      <c r="L162" s="80"/>
      <c r="M162" s="23"/>
      <c r="N162" s="23"/>
      <c r="O162" s="23"/>
      <c r="P162" s="23"/>
    </row>
    <row r="163" spans="1:16" ht="50" x14ac:dyDescent="0.35">
      <c r="A163" s="114"/>
      <c r="B163" s="115"/>
      <c r="C163" s="75" t="s">
        <v>138</v>
      </c>
      <c r="D163" s="75" t="s">
        <v>139</v>
      </c>
      <c r="E163" s="76">
        <v>57</v>
      </c>
      <c r="F163" s="76">
        <v>100</v>
      </c>
      <c r="G163" s="1"/>
      <c r="H163" s="83">
        <v>174000000</v>
      </c>
      <c r="I163" s="77" t="s">
        <v>30</v>
      </c>
      <c r="J163" s="82">
        <v>42</v>
      </c>
      <c r="K163" s="82">
        <v>0</v>
      </c>
      <c r="L163" s="80" t="s">
        <v>140</v>
      </c>
      <c r="M163" s="23"/>
      <c r="N163" s="23"/>
      <c r="O163" s="23"/>
      <c r="P163" s="23"/>
    </row>
    <row r="164" spans="1:16" ht="25" x14ac:dyDescent="0.35">
      <c r="A164" s="114"/>
      <c r="B164" s="115"/>
      <c r="C164" s="75" t="s">
        <v>141</v>
      </c>
      <c r="D164" s="75" t="s">
        <v>142</v>
      </c>
      <c r="E164" s="76">
        <v>1.5</v>
      </c>
      <c r="F164" s="76">
        <v>100</v>
      </c>
      <c r="G164" s="1"/>
      <c r="H164" s="83">
        <v>167000000</v>
      </c>
      <c r="I164" s="77" t="s">
        <v>31</v>
      </c>
      <c r="J164" s="82">
        <v>0</v>
      </c>
      <c r="K164" s="82">
        <v>0</v>
      </c>
      <c r="L164" s="80" t="s">
        <v>143</v>
      </c>
      <c r="M164" s="23"/>
      <c r="N164" s="23"/>
      <c r="O164" s="23"/>
      <c r="P164" s="23"/>
    </row>
    <row r="165" spans="1:16" ht="25" x14ac:dyDescent="0.35">
      <c r="A165" s="114"/>
      <c r="B165" s="115"/>
      <c r="C165" s="75" t="s">
        <v>144</v>
      </c>
      <c r="D165" s="75" t="s">
        <v>145</v>
      </c>
      <c r="E165" s="76" t="s">
        <v>282</v>
      </c>
      <c r="F165" s="76">
        <v>100</v>
      </c>
      <c r="G165" s="1"/>
      <c r="H165" s="83">
        <v>77000000</v>
      </c>
      <c r="I165" s="77" t="s">
        <v>29</v>
      </c>
      <c r="J165" s="78">
        <v>0.59</v>
      </c>
      <c r="K165" s="77">
        <v>59</v>
      </c>
      <c r="L165" s="80"/>
      <c r="M165" s="23"/>
      <c r="N165" s="23"/>
      <c r="O165" s="23"/>
      <c r="P165" s="23"/>
    </row>
    <row r="166" spans="1:16" ht="37.5" x14ac:dyDescent="0.35">
      <c r="A166" s="114"/>
      <c r="B166" s="115"/>
      <c r="C166" s="75" t="s">
        <v>147</v>
      </c>
      <c r="D166" s="75" t="s">
        <v>148</v>
      </c>
      <c r="E166" s="76">
        <v>8</v>
      </c>
      <c r="F166" s="76">
        <v>100</v>
      </c>
      <c r="G166" s="1"/>
      <c r="H166" s="83">
        <v>301000000</v>
      </c>
      <c r="I166" s="82" t="s">
        <v>283</v>
      </c>
      <c r="J166" s="82">
        <v>0</v>
      </c>
      <c r="K166" s="82">
        <v>0</v>
      </c>
      <c r="L166" s="80" t="s">
        <v>149</v>
      </c>
      <c r="M166" s="23"/>
      <c r="N166" s="23"/>
      <c r="O166" s="23"/>
      <c r="P166" s="23"/>
    </row>
    <row r="167" spans="1:16" ht="25" x14ac:dyDescent="0.35">
      <c r="A167" s="114"/>
      <c r="B167" s="115"/>
      <c r="C167" s="75" t="s">
        <v>150</v>
      </c>
      <c r="D167" s="75" t="s">
        <v>151</v>
      </c>
      <c r="E167" s="76">
        <v>1</v>
      </c>
      <c r="F167" s="76">
        <v>100</v>
      </c>
      <c r="G167" s="1"/>
      <c r="H167" s="83">
        <v>124000000</v>
      </c>
      <c r="I167" s="77" t="s">
        <v>284</v>
      </c>
      <c r="J167" s="77">
        <v>0</v>
      </c>
      <c r="K167" s="77">
        <v>0</v>
      </c>
      <c r="L167" s="80" t="s">
        <v>152</v>
      </c>
      <c r="M167" s="23"/>
      <c r="N167" s="23"/>
      <c r="O167" s="23"/>
      <c r="P167" s="23"/>
    </row>
    <row r="168" spans="1:16" ht="26.5" x14ac:dyDescent="0.35">
      <c r="A168" s="114"/>
      <c r="B168" s="115"/>
      <c r="C168" s="75" t="s">
        <v>285</v>
      </c>
      <c r="D168" s="75" t="s">
        <v>153</v>
      </c>
      <c r="E168" s="79">
        <v>20000</v>
      </c>
      <c r="F168" s="76">
        <v>100</v>
      </c>
      <c r="G168" s="1"/>
      <c r="H168" s="83">
        <v>140000000</v>
      </c>
      <c r="I168" s="82" t="s">
        <v>283</v>
      </c>
      <c r="J168" s="82">
        <v>0</v>
      </c>
      <c r="K168" s="82">
        <v>0</v>
      </c>
      <c r="L168" s="80" t="s">
        <v>149</v>
      </c>
      <c r="M168" s="23"/>
      <c r="N168" s="23"/>
      <c r="O168" s="23"/>
      <c r="P168" s="23"/>
    </row>
    <row r="169" spans="1:16" ht="50" x14ac:dyDescent="0.35">
      <c r="A169" s="114"/>
      <c r="B169" s="115"/>
      <c r="C169" s="75" t="s">
        <v>154</v>
      </c>
      <c r="D169" s="75" t="s">
        <v>155</v>
      </c>
      <c r="E169" s="76">
        <v>15</v>
      </c>
      <c r="F169" s="76">
        <v>50</v>
      </c>
      <c r="G169" s="1"/>
      <c r="H169" s="83">
        <v>100000000</v>
      </c>
      <c r="I169" s="77" t="s">
        <v>283</v>
      </c>
      <c r="J169" s="77">
        <v>0</v>
      </c>
      <c r="K169" s="77">
        <v>0</v>
      </c>
      <c r="L169" s="80" t="s">
        <v>146</v>
      </c>
      <c r="M169" s="23"/>
      <c r="N169" s="23"/>
      <c r="O169" s="23"/>
      <c r="P169" s="23"/>
    </row>
    <row r="170" spans="1:16" ht="50" x14ac:dyDescent="0.35">
      <c r="A170" s="114"/>
      <c r="B170" s="115"/>
      <c r="C170" s="75" t="s">
        <v>156</v>
      </c>
      <c r="D170" s="75" t="s">
        <v>157</v>
      </c>
      <c r="E170" s="76">
        <v>15</v>
      </c>
      <c r="F170" s="76">
        <v>50</v>
      </c>
      <c r="G170" s="1"/>
      <c r="H170" s="83">
        <v>100000000</v>
      </c>
      <c r="I170" s="77" t="s">
        <v>283</v>
      </c>
      <c r="J170" s="77">
        <v>0</v>
      </c>
      <c r="K170" s="77">
        <v>0</v>
      </c>
      <c r="L170" s="80" t="s">
        <v>158</v>
      </c>
      <c r="M170" s="23"/>
      <c r="N170" s="23"/>
      <c r="O170" s="23"/>
      <c r="P170" s="23"/>
    </row>
    <row r="171" spans="1:16" ht="25" x14ac:dyDescent="0.35">
      <c r="A171" s="114"/>
      <c r="B171" s="115"/>
      <c r="C171" s="75" t="s">
        <v>159</v>
      </c>
      <c r="D171" s="75" t="s">
        <v>160</v>
      </c>
      <c r="E171" s="76">
        <v>10.23</v>
      </c>
      <c r="F171" s="76">
        <v>25</v>
      </c>
      <c r="G171" s="1"/>
      <c r="H171" s="83">
        <v>3200000000</v>
      </c>
      <c r="I171" s="77" t="s">
        <v>283</v>
      </c>
      <c r="J171" s="77">
        <v>0</v>
      </c>
      <c r="K171" s="77">
        <v>0</v>
      </c>
      <c r="L171" s="80" t="s">
        <v>143</v>
      </c>
      <c r="M171" s="23"/>
      <c r="N171" s="23"/>
      <c r="O171" s="23"/>
      <c r="P171" s="23"/>
    </row>
    <row r="172" spans="1:16" ht="25" x14ac:dyDescent="0.35">
      <c r="A172" s="114"/>
      <c r="B172" s="115"/>
      <c r="C172" s="75" t="s">
        <v>161</v>
      </c>
      <c r="D172" s="75" t="s">
        <v>162</v>
      </c>
      <c r="E172" s="76">
        <v>30</v>
      </c>
      <c r="F172" s="76">
        <v>40</v>
      </c>
      <c r="G172" s="1"/>
      <c r="H172" s="83">
        <v>3000000000</v>
      </c>
      <c r="I172" s="82" t="s">
        <v>283</v>
      </c>
      <c r="J172" s="82">
        <v>0</v>
      </c>
      <c r="K172" s="82">
        <v>0</v>
      </c>
      <c r="L172" s="80" t="s">
        <v>163</v>
      </c>
      <c r="M172" s="23"/>
      <c r="N172" s="23"/>
      <c r="O172" s="23"/>
      <c r="P172" s="23"/>
    </row>
    <row r="173" spans="1:16" ht="37.5" x14ac:dyDescent="0.35">
      <c r="A173" s="114"/>
      <c r="B173" s="115"/>
      <c r="C173" s="117" t="s">
        <v>164</v>
      </c>
      <c r="D173" s="75" t="s">
        <v>286</v>
      </c>
      <c r="E173" s="76" t="s">
        <v>288</v>
      </c>
      <c r="F173" s="76">
        <v>51.17</v>
      </c>
      <c r="G173" s="75">
        <v>45.13</v>
      </c>
      <c r="H173" s="83">
        <v>26600000000</v>
      </c>
      <c r="I173" s="82" t="s">
        <v>283</v>
      </c>
      <c r="J173" s="82">
        <v>13.51</v>
      </c>
      <c r="K173" s="82">
        <v>27</v>
      </c>
      <c r="L173" s="80" t="s">
        <v>165</v>
      </c>
      <c r="M173" s="23"/>
      <c r="N173" s="23"/>
      <c r="O173" s="23"/>
      <c r="P173" s="23"/>
    </row>
    <row r="174" spans="1:16" ht="25" x14ac:dyDescent="0.35">
      <c r="A174" s="114"/>
      <c r="B174" s="115"/>
      <c r="C174" s="118"/>
      <c r="D174" s="75" t="s">
        <v>166</v>
      </c>
      <c r="E174" s="76" t="s">
        <v>289</v>
      </c>
      <c r="F174" s="76">
        <v>11</v>
      </c>
      <c r="G174" s="76">
        <v>9</v>
      </c>
      <c r="H174" s="1"/>
      <c r="I174" s="82"/>
      <c r="J174" s="82"/>
      <c r="K174" s="82"/>
      <c r="L174" s="81"/>
      <c r="M174" s="23"/>
      <c r="N174" s="23"/>
      <c r="O174" s="23"/>
      <c r="P174" s="23"/>
    </row>
    <row r="175" spans="1:16" ht="25" x14ac:dyDescent="0.35">
      <c r="A175" s="114"/>
      <c r="B175" s="115"/>
      <c r="C175" s="118"/>
      <c r="D175" s="75" t="s">
        <v>287</v>
      </c>
      <c r="E175" s="76" t="s">
        <v>290</v>
      </c>
      <c r="F175" s="76">
        <v>2</v>
      </c>
      <c r="G175" s="76">
        <v>1</v>
      </c>
      <c r="H175" s="83"/>
      <c r="I175" s="82"/>
      <c r="J175" s="82"/>
      <c r="K175" s="82"/>
      <c r="L175" s="81"/>
      <c r="M175" s="23"/>
      <c r="N175" s="23"/>
      <c r="O175" s="23"/>
      <c r="P175" s="23"/>
    </row>
    <row r="176" spans="1:16" ht="25" x14ac:dyDescent="0.35">
      <c r="A176" s="114"/>
      <c r="B176" s="115"/>
      <c r="C176" s="119"/>
      <c r="D176" s="75" t="s">
        <v>167</v>
      </c>
      <c r="E176" s="76" t="s">
        <v>291</v>
      </c>
      <c r="F176" s="76">
        <v>10</v>
      </c>
      <c r="G176" s="76">
        <v>5</v>
      </c>
      <c r="H176" s="83"/>
      <c r="I176" s="82"/>
      <c r="J176" s="82"/>
      <c r="K176" s="82"/>
      <c r="L176" s="81"/>
      <c r="M176" s="23"/>
      <c r="N176" s="23"/>
      <c r="O176" s="23"/>
      <c r="P176" s="23"/>
    </row>
  </sheetData>
  <mergeCells count="78">
    <mergeCell ref="C173:C176"/>
    <mergeCell ref="A162:A176"/>
    <mergeCell ref="B162:B176"/>
    <mergeCell ref="J154:J155"/>
    <mergeCell ref="K154:K155"/>
    <mergeCell ref="C148:C149"/>
    <mergeCell ref="A150:A161"/>
    <mergeCell ref="B150:B161"/>
    <mergeCell ref="C150:C151"/>
    <mergeCell ref="J150:J151"/>
    <mergeCell ref="K150:K151"/>
    <mergeCell ref="C152:C156"/>
    <mergeCell ref="A108:A149"/>
    <mergeCell ref="B108:B149"/>
    <mergeCell ref="C108:C111"/>
    <mergeCell ref="C113:C115"/>
    <mergeCell ref="C116:C119"/>
    <mergeCell ref="L152:L156"/>
    <mergeCell ref="D154:D155"/>
    <mergeCell ref="E154:E155"/>
    <mergeCell ref="F154:F155"/>
    <mergeCell ref="G154:G155"/>
    <mergeCell ref="I154:I155"/>
    <mergeCell ref="P141:P144"/>
    <mergeCell ref="P133:P140"/>
    <mergeCell ref="P126:P132"/>
    <mergeCell ref="P120:P125"/>
    <mergeCell ref="P117:P118"/>
    <mergeCell ref="C120:C147"/>
    <mergeCell ref="C103:C107"/>
    <mergeCell ref="C98:C102"/>
    <mergeCell ref="B93:B107"/>
    <mergeCell ref="C93:C97"/>
    <mergeCell ref="C89:C92"/>
    <mergeCell ref="C85:C88"/>
    <mergeCell ref="C82:C84"/>
    <mergeCell ref="A67:A107"/>
    <mergeCell ref="B67:B92"/>
    <mergeCell ref="C67:C68"/>
    <mergeCell ref="C69:C72"/>
    <mergeCell ref="C74:C75"/>
    <mergeCell ref="C76:C78"/>
    <mergeCell ref="C79:C81"/>
    <mergeCell ref="A47:A66"/>
    <mergeCell ref="C47:C56"/>
    <mergeCell ref="C57:C58"/>
    <mergeCell ref="B60:B66"/>
    <mergeCell ref="C60:C61"/>
    <mergeCell ref="C62:C66"/>
    <mergeCell ref="H25:H26"/>
    <mergeCell ref="H27:H28"/>
    <mergeCell ref="C31:C34"/>
    <mergeCell ref="B35:B46"/>
    <mergeCell ref="C35:C37"/>
    <mergeCell ref="C39:C44"/>
    <mergeCell ref="C45:C46"/>
    <mergeCell ref="C14:C15"/>
    <mergeCell ref="A5:A15"/>
    <mergeCell ref="A16:A46"/>
    <mergeCell ref="B16:B34"/>
    <mergeCell ref="C16:C23"/>
    <mergeCell ref="C24:C30"/>
    <mergeCell ref="A1:P1"/>
    <mergeCell ref="P5:P12"/>
    <mergeCell ref="M3:P3"/>
    <mergeCell ref="N5:N12"/>
    <mergeCell ref="O5:O12"/>
    <mergeCell ref="C5:C12"/>
    <mergeCell ref="H3:H4"/>
    <mergeCell ref="D3:D4"/>
    <mergeCell ref="C3:C4"/>
    <mergeCell ref="M5:M12"/>
    <mergeCell ref="E3:G3"/>
    <mergeCell ref="H5:H12"/>
    <mergeCell ref="B3:B4"/>
    <mergeCell ref="A3:A4"/>
    <mergeCell ref="J3:K3"/>
    <mergeCell ref="B5:B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2AD5B7A46A91148A317318C2E25AD61" ma:contentTypeVersion="19" ma:contentTypeDescription="Crée un document." ma:contentTypeScope="" ma:versionID="ae3d1f13ddf9292f12516908c6717469">
  <xsd:schema xmlns:xsd="http://www.w3.org/2001/XMLSchema" xmlns:xs="http://www.w3.org/2001/XMLSchema" xmlns:p="http://schemas.microsoft.com/office/2006/metadata/properties" xmlns:ns3="f4d4f216-82e1-4baf-8919-153691e63a70" xmlns:ns4="616db8be-c7d0-4bc1-970f-b128c9e1c704" targetNamespace="http://schemas.microsoft.com/office/2006/metadata/properties" ma:root="true" ma:fieldsID="1470f61aa7c40530a4c6ba8088bbb79e" ns3:_="" ns4:_="">
    <xsd:import namespace="f4d4f216-82e1-4baf-8919-153691e63a70"/>
    <xsd:import namespace="616db8be-c7d0-4bc1-970f-b128c9e1c704"/>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SystemTag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d4f216-82e1-4baf-8919-153691e63a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LengthInSeconds" ma:index="15" nillable="true" ma:displayName="Length (seconds)" ma:internalName="MediaLengthInSeconds" ma:readOnly="true">
      <xsd:simpleType>
        <xsd:restriction base="dms:Unknown"/>
      </xsd:simpleType>
    </xsd:element>
    <xsd:element name="MediaServiceLocation" ma:index="16" nillable="true" ma:displayName="Location" ma:internalName="MediaServiceLocatio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16db8be-c7d0-4bc1-970f-b128c9e1c704" elementFormDefault="qualified">
    <xsd:import namespace="http://schemas.microsoft.com/office/2006/documentManagement/types"/>
    <xsd:import namespace="http://schemas.microsoft.com/office/infopath/2007/PartnerControls"/>
    <xsd:element name="SharedWithUsers" ma:index="19"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Partagé avec détails" ma:internalName="SharedWithDetails" ma:readOnly="true">
      <xsd:simpleType>
        <xsd:restriction base="dms:Note">
          <xsd:maxLength value="255"/>
        </xsd:restriction>
      </xsd:simpleType>
    </xsd:element>
    <xsd:element name="SharingHintHash" ma:index="21"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d4f216-82e1-4baf-8919-153691e63a70" xsi:nil="true"/>
  </documentManagement>
</p:properties>
</file>

<file path=customXml/itemProps1.xml><?xml version="1.0" encoding="utf-8"?>
<ds:datastoreItem xmlns:ds="http://schemas.openxmlformats.org/officeDocument/2006/customXml" ds:itemID="{1608BB47-C394-48AD-A0A3-4A1D30FF17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d4f216-82e1-4baf-8919-153691e63a70"/>
    <ds:schemaRef ds:uri="616db8be-c7d0-4bc1-970f-b128c9e1c7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E1C231-1155-4BFA-A518-E5ED747B1A41}">
  <ds:schemaRefs>
    <ds:schemaRef ds:uri="http://schemas.microsoft.com/sharepoint/v3/contenttype/forms"/>
  </ds:schemaRefs>
</ds:datastoreItem>
</file>

<file path=customXml/itemProps3.xml><?xml version="1.0" encoding="utf-8"?>
<ds:datastoreItem xmlns:ds="http://schemas.openxmlformats.org/officeDocument/2006/customXml" ds:itemID="{6F0D8138-8173-4A37-9208-2B8FAD372D89}">
  <ds:schemaRefs>
    <ds:schemaRef ds:uri="http://purl.org/dc/elements/1.1/"/>
    <ds:schemaRef ds:uri="http://schemas.openxmlformats.org/package/2006/metadata/core-properties"/>
    <ds:schemaRef ds:uri="http://www.w3.org/XML/1998/namespace"/>
    <ds:schemaRef ds:uri="http://purl.org/dc/terms/"/>
    <ds:schemaRef ds:uri="http://schemas.microsoft.com/office/2006/documentManagement/types"/>
    <ds:schemaRef ds:uri="http://schemas.microsoft.com/office/2006/metadata/properties"/>
    <ds:schemaRef ds:uri="616db8be-c7d0-4bc1-970f-b128c9e1c704"/>
    <ds:schemaRef ds:uri="http://schemas.microsoft.com/office/infopath/2007/PartnerControls"/>
    <ds:schemaRef ds:uri="f4d4f216-82e1-4baf-8919-153691e63a70"/>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MHA PLAN D'ACTIONS BUDGETISE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Rouguillatou DIAGNE NDIR</dc:creator>
  <cp:lastModifiedBy>NGOM BM</cp:lastModifiedBy>
  <dcterms:created xsi:type="dcterms:W3CDTF">2025-12-18T22:49:42Z</dcterms:created>
  <dcterms:modified xsi:type="dcterms:W3CDTF">2026-01-15T17:03:58Z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0x010100B2AD5B7A46A91148A317318C2E25AD61</vt:lpwstr>
  </property>
</Properties>
</file>